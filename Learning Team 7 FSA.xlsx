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IB\Term 3\FSA\GRP\"/>
    </mc:Choice>
  </mc:AlternateContent>
  <xr:revisionPtr revIDLastSave="0" documentId="13_ncr:1_{FCC3617A-1D1E-4C5B-BBDB-CCDE6B3FF7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Mondelez" sheetId="2" r:id="rId2"/>
    <sheet name="Pepsico" sheetId="3" r:id="rId3"/>
    <sheet name="Hershey" sheetId="4" r:id="rId4"/>
    <sheet name="Ratio Analysis" sheetId="5" r:id="rId5"/>
    <sheet name="Trend Analysis " sheetId="6" r:id="rId6"/>
    <sheet name="Financial Proje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1" i="1" l="1"/>
  <c r="B23" i="1"/>
  <c r="B16" i="1"/>
  <c r="B14" i="7"/>
  <c r="O4" i="6"/>
  <c r="B25" i="7"/>
  <c r="J18" i="7"/>
  <c r="J26" i="7" s="1"/>
  <c r="G18" i="7"/>
  <c r="F17" i="7"/>
  <c r="F19" i="7" s="1"/>
  <c r="D17" i="7"/>
  <c r="D19" i="7" s="1"/>
  <c r="C17" i="7"/>
  <c r="C19" i="7" s="1"/>
  <c r="B17" i="7"/>
  <c r="B19" i="7" s="1"/>
  <c r="J14" i="7"/>
  <c r="J15" i="7" s="1"/>
  <c r="G14" i="7"/>
  <c r="G15" i="7" s="1"/>
  <c r="F14" i="7"/>
  <c r="F18" i="7" s="1"/>
  <c r="F26" i="7" s="1"/>
  <c r="G26" i="7" s="1"/>
  <c r="D14" i="7"/>
  <c r="D18" i="7" s="1"/>
  <c r="C14" i="7"/>
  <c r="C23" i="1" s="1"/>
  <c r="B18" i="7"/>
  <c r="B26" i="7" s="1"/>
  <c r="E54" i="6"/>
  <c r="F54" i="6" s="1"/>
  <c r="D54" i="6"/>
  <c r="M54" i="6" s="1"/>
  <c r="C54" i="6"/>
  <c r="L54" i="6" s="1"/>
  <c r="B54" i="6"/>
  <c r="E53" i="6"/>
  <c r="F53" i="6" s="1"/>
  <c r="D53" i="6"/>
  <c r="N53" i="6" s="1"/>
  <c r="C53" i="6"/>
  <c r="L53" i="6" s="1"/>
  <c r="B53" i="6"/>
  <c r="N52" i="6"/>
  <c r="O52" i="6" s="1"/>
  <c r="M52" i="6"/>
  <c r="L52" i="6"/>
  <c r="F52" i="6"/>
  <c r="E52" i="6"/>
  <c r="D52" i="6"/>
  <c r="C52" i="6"/>
  <c r="B52" i="6"/>
  <c r="N48" i="6"/>
  <c r="M48" i="6"/>
  <c r="L48" i="6"/>
  <c r="O48" i="6" s="1"/>
  <c r="F48" i="6"/>
  <c r="E48" i="6"/>
  <c r="D48" i="6"/>
  <c r="C48" i="6"/>
  <c r="B48" i="6"/>
  <c r="E47" i="6"/>
  <c r="F47" i="6" s="1"/>
  <c r="D47" i="6"/>
  <c r="M47" i="6" s="1"/>
  <c r="C47" i="6"/>
  <c r="L47" i="6" s="1"/>
  <c r="B47" i="6"/>
  <c r="E46" i="6"/>
  <c r="F46" i="6" s="1"/>
  <c r="D46" i="6"/>
  <c r="N46" i="6" s="1"/>
  <c r="C46" i="6"/>
  <c r="L46" i="6" s="1"/>
  <c r="B46" i="6"/>
  <c r="O42" i="6"/>
  <c r="N42" i="6"/>
  <c r="M42" i="6"/>
  <c r="L42" i="6"/>
  <c r="F42" i="6"/>
  <c r="E42" i="6"/>
  <c r="D42" i="6"/>
  <c r="C42" i="6"/>
  <c r="B42" i="6"/>
  <c r="N41" i="6"/>
  <c r="M41" i="6"/>
  <c r="L41" i="6"/>
  <c r="O41" i="6" s="1"/>
  <c r="F41" i="6"/>
  <c r="E41" i="6"/>
  <c r="D41" i="6"/>
  <c r="C41" i="6"/>
  <c r="B41" i="6"/>
  <c r="E40" i="6"/>
  <c r="F40" i="6" s="1"/>
  <c r="D40" i="6"/>
  <c r="M40" i="6" s="1"/>
  <c r="C40" i="6"/>
  <c r="L40" i="6" s="1"/>
  <c r="B40" i="6"/>
  <c r="E36" i="6"/>
  <c r="F36" i="6" s="1"/>
  <c r="D36" i="6"/>
  <c r="N36" i="6" s="1"/>
  <c r="C36" i="6"/>
  <c r="L36" i="6" s="1"/>
  <c r="B36" i="6"/>
  <c r="N35" i="6"/>
  <c r="O35" i="6" s="1"/>
  <c r="M35" i="6"/>
  <c r="L35" i="6"/>
  <c r="F35" i="6"/>
  <c r="E35" i="6"/>
  <c r="D35" i="6"/>
  <c r="C35" i="6"/>
  <c r="B35" i="6"/>
  <c r="N34" i="6"/>
  <c r="M34" i="6"/>
  <c r="L34" i="6"/>
  <c r="O34" i="6" s="1"/>
  <c r="F34" i="6"/>
  <c r="E34" i="6"/>
  <c r="D34" i="6"/>
  <c r="C34" i="6"/>
  <c r="B34" i="6"/>
  <c r="E30" i="6"/>
  <c r="F30" i="6" s="1"/>
  <c r="D30" i="6"/>
  <c r="M30" i="6" s="1"/>
  <c r="C30" i="6"/>
  <c r="L30" i="6" s="1"/>
  <c r="B30" i="6"/>
  <c r="E29" i="6"/>
  <c r="F29" i="6" s="1"/>
  <c r="D29" i="6"/>
  <c r="N29" i="6" s="1"/>
  <c r="C29" i="6"/>
  <c r="L29" i="6" s="1"/>
  <c r="B29" i="6"/>
  <c r="N28" i="6"/>
  <c r="O28" i="6" s="1"/>
  <c r="M28" i="6"/>
  <c r="L28" i="6"/>
  <c r="F28" i="6"/>
  <c r="E28" i="6"/>
  <c r="D28" i="6"/>
  <c r="C28" i="6"/>
  <c r="B28" i="6"/>
  <c r="N24" i="6"/>
  <c r="M24" i="6"/>
  <c r="L24" i="6"/>
  <c r="O24" i="6" s="1"/>
  <c r="F24" i="6"/>
  <c r="E24" i="6"/>
  <c r="D24" i="6"/>
  <c r="C24" i="6"/>
  <c r="B24" i="6"/>
  <c r="E23" i="6"/>
  <c r="N23" i="6" s="1"/>
  <c r="D23" i="6"/>
  <c r="M23" i="6" s="1"/>
  <c r="C23" i="6"/>
  <c r="L23" i="6" s="1"/>
  <c r="B23" i="6"/>
  <c r="E22" i="6"/>
  <c r="F22" i="6" s="1"/>
  <c r="D22" i="6"/>
  <c r="N22" i="6" s="1"/>
  <c r="C22" i="6"/>
  <c r="L22" i="6" s="1"/>
  <c r="B22" i="6"/>
  <c r="N18" i="6"/>
  <c r="O18" i="6" s="1"/>
  <c r="M18" i="6"/>
  <c r="L18" i="6"/>
  <c r="F18" i="6"/>
  <c r="E18" i="6"/>
  <c r="D18" i="6"/>
  <c r="C18" i="6"/>
  <c r="B18" i="6"/>
  <c r="N17" i="6"/>
  <c r="M17" i="6"/>
  <c r="L17" i="6"/>
  <c r="O17" i="6" s="1"/>
  <c r="F17" i="6"/>
  <c r="E17" i="6"/>
  <c r="D17" i="6"/>
  <c r="C17" i="6"/>
  <c r="B17" i="6"/>
  <c r="E16" i="6"/>
  <c r="F16" i="6" s="1"/>
  <c r="D16" i="6"/>
  <c r="M16" i="6" s="1"/>
  <c r="C16" i="6"/>
  <c r="L16" i="6" s="1"/>
  <c r="B16" i="6"/>
  <c r="E12" i="6"/>
  <c r="D12" i="6"/>
  <c r="N12" i="6" s="1"/>
  <c r="C12" i="6"/>
  <c r="L12" i="6" s="1"/>
  <c r="B12" i="6"/>
  <c r="F12" i="6" s="1"/>
  <c r="N11" i="6"/>
  <c r="O11" i="6" s="1"/>
  <c r="M11" i="6"/>
  <c r="L11" i="6"/>
  <c r="F11" i="6"/>
  <c r="E11" i="6"/>
  <c r="D11" i="6"/>
  <c r="C11" i="6"/>
  <c r="B11" i="6"/>
  <c r="N10" i="6"/>
  <c r="M10" i="6"/>
  <c r="L10" i="6"/>
  <c r="O10" i="6" s="1"/>
  <c r="F10" i="6"/>
  <c r="E10" i="6"/>
  <c r="D10" i="6"/>
  <c r="C10" i="6"/>
  <c r="B10" i="6"/>
  <c r="E6" i="6"/>
  <c r="F6" i="6" s="1"/>
  <c r="D6" i="6"/>
  <c r="M6" i="6" s="1"/>
  <c r="C6" i="6"/>
  <c r="L6" i="6" s="1"/>
  <c r="B6" i="6"/>
  <c r="E5" i="6"/>
  <c r="D5" i="6"/>
  <c r="N5" i="6" s="1"/>
  <c r="C5" i="6"/>
  <c r="L5" i="6" s="1"/>
  <c r="B5" i="6"/>
  <c r="F5" i="6" s="1"/>
  <c r="N4" i="6"/>
  <c r="M4" i="6"/>
  <c r="E4" i="6"/>
  <c r="F4" i="6" s="1"/>
  <c r="D4" i="6"/>
  <c r="C4" i="6"/>
  <c r="B4" i="6"/>
  <c r="L4" i="6" s="1"/>
  <c r="D73" i="1"/>
  <c r="C73" i="1"/>
  <c r="B73" i="1"/>
  <c r="D72" i="1"/>
  <c r="C72" i="1"/>
  <c r="B72" i="1"/>
  <c r="D71" i="1"/>
  <c r="C71" i="1"/>
  <c r="B24" i="1"/>
  <c r="D23" i="1"/>
  <c r="D19" i="1"/>
  <c r="C19" i="1"/>
  <c r="B19" i="1"/>
  <c r="D18" i="1"/>
  <c r="C18" i="1"/>
  <c r="B18" i="1"/>
  <c r="D17" i="1"/>
  <c r="C17" i="1"/>
  <c r="B17" i="1"/>
  <c r="D16" i="1"/>
  <c r="C16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F92" i="5"/>
  <c r="E92" i="5"/>
  <c r="D92" i="5"/>
  <c r="C92" i="5"/>
  <c r="F91" i="5"/>
  <c r="E91" i="5"/>
  <c r="D91" i="5"/>
  <c r="C91" i="5"/>
  <c r="F90" i="5"/>
  <c r="E90" i="5"/>
  <c r="D90" i="5"/>
  <c r="C90" i="5"/>
  <c r="F87" i="5"/>
  <c r="F85" i="5"/>
  <c r="F83" i="5"/>
  <c r="E83" i="5"/>
  <c r="E87" i="5" s="1"/>
  <c r="D83" i="5"/>
  <c r="D87" i="5" s="1"/>
  <c r="C83" i="5"/>
  <c r="C87" i="5" s="1"/>
  <c r="F82" i="5"/>
  <c r="F86" i="5" s="1"/>
  <c r="E82" i="5"/>
  <c r="E86" i="5" s="1"/>
  <c r="D82" i="5"/>
  <c r="D86" i="5" s="1"/>
  <c r="C82" i="5"/>
  <c r="C86" i="5" s="1"/>
  <c r="F81" i="5"/>
  <c r="E81" i="5"/>
  <c r="E85" i="5" s="1"/>
  <c r="D81" i="5"/>
  <c r="D85" i="5" s="1"/>
  <c r="C81" i="5"/>
  <c r="C85" i="5" s="1"/>
  <c r="C77" i="5"/>
  <c r="F75" i="5"/>
  <c r="F79" i="5" s="1"/>
  <c r="E75" i="5"/>
  <c r="E79" i="5" s="1"/>
  <c r="D75" i="5"/>
  <c r="D79" i="5" s="1"/>
  <c r="C75" i="5"/>
  <c r="C79" i="5" s="1"/>
  <c r="F74" i="5"/>
  <c r="F78" i="5" s="1"/>
  <c r="E74" i="5"/>
  <c r="E78" i="5" s="1"/>
  <c r="D74" i="5"/>
  <c r="D78" i="5" s="1"/>
  <c r="C74" i="5"/>
  <c r="C78" i="5" s="1"/>
  <c r="F73" i="5"/>
  <c r="F77" i="5" s="1"/>
  <c r="E73" i="5"/>
  <c r="E77" i="5" s="1"/>
  <c r="D73" i="5"/>
  <c r="D77" i="5" s="1"/>
  <c r="C73" i="5"/>
  <c r="F71" i="5"/>
  <c r="E71" i="5"/>
  <c r="D71" i="5"/>
  <c r="C71" i="5"/>
  <c r="F70" i="5"/>
  <c r="E70" i="5"/>
  <c r="D70" i="5"/>
  <c r="C70" i="5"/>
  <c r="F69" i="5"/>
  <c r="E69" i="5"/>
  <c r="D69" i="5"/>
  <c r="C69" i="5"/>
  <c r="F67" i="5"/>
  <c r="E67" i="5"/>
  <c r="D67" i="5"/>
  <c r="C67" i="5"/>
  <c r="F66" i="5"/>
  <c r="E66" i="5"/>
  <c r="D66" i="5"/>
  <c r="C66" i="5"/>
  <c r="F65" i="5"/>
  <c r="E65" i="5"/>
  <c r="D65" i="5"/>
  <c r="C65" i="5"/>
  <c r="F63" i="5"/>
  <c r="E63" i="5"/>
  <c r="D63" i="5"/>
  <c r="C63" i="5"/>
  <c r="F62" i="5"/>
  <c r="E62" i="5"/>
  <c r="D62" i="5"/>
  <c r="C62" i="5"/>
  <c r="F61" i="5"/>
  <c r="E61" i="5"/>
  <c r="D61" i="5"/>
  <c r="C61" i="5"/>
  <c r="F57" i="5"/>
  <c r="E57" i="5"/>
  <c r="D57" i="5"/>
  <c r="C57" i="5"/>
  <c r="F56" i="5"/>
  <c r="E56" i="5"/>
  <c r="D56" i="5"/>
  <c r="C56" i="5"/>
  <c r="F55" i="5"/>
  <c r="E55" i="5"/>
  <c r="D55" i="5"/>
  <c r="C55" i="5"/>
  <c r="F53" i="5"/>
  <c r="E53" i="5"/>
  <c r="D53" i="5"/>
  <c r="C53" i="5"/>
  <c r="F52" i="5"/>
  <c r="E52" i="5"/>
  <c r="D52" i="5"/>
  <c r="C52" i="5"/>
  <c r="F51" i="5"/>
  <c r="E51" i="5"/>
  <c r="D51" i="5"/>
  <c r="C51" i="5"/>
  <c r="F49" i="5"/>
  <c r="E49" i="5"/>
  <c r="D49" i="5"/>
  <c r="C49" i="5"/>
  <c r="F48" i="5"/>
  <c r="E48" i="5"/>
  <c r="D48" i="5"/>
  <c r="C48" i="5"/>
  <c r="F47" i="5"/>
  <c r="E47" i="5"/>
  <c r="D47" i="5"/>
  <c r="C47" i="5"/>
  <c r="F45" i="5"/>
  <c r="E45" i="5"/>
  <c r="D45" i="5"/>
  <c r="C45" i="5"/>
  <c r="F44" i="5"/>
  <c r="E44" i="5"/>
  <c r="D44" i="5"/>
  <c r="C44" i="5"/>
  <c r="F43" i="5"/>
  <c r="E43" i="5"/>
  <c r="D43" i="5"/>
  <c r="C43" i="5"/>
  <c r="F41" i="5"/>
  <c r="E41" i="5"/>
  <c r="D41" i="5"/>
  <c r="C41" i="5"/>
  <c r="F40" i="5"/>
  <c r="E40" i="5"/>
  <c r="D40" i="5"/>
  <c r="C40" i="5"/>
  <c r="F39" i="5"/>
  <c r="E39" i="5"/>
  <c r="D39" i="5"/>
  <c r="C39" i="5"/>
  <c r="F35" i="5"/>
  <c r="E35" i="5"/>
  <c r="D35" i="5"/>
  <c r="C35" i="5"/>
  <c r="F34" i="5"/>
  <c r="E34" i="5"/>
  <c r="D34" i="5"/>
  <c r="C34" i="5"/>
  <c r="F33" i="5"/>
  <c r="E33" i="5"/>
  <c r="D33" i="5"/>
  <c r="C33" i="5"/>
  <c r="F31" i="5"/>
  <c r="E31" i="5"/>
  <c r="D31" i="5"/>
  <c r="C31" i="5"/>
  <c r="F30" i="5"/>
  <c r="E30" i="5"/>
  <c r="D30" i="5"/>
  <c r="C30" i="5"/>
  <c r="F29" i="5"/>
  <c r="E29" i="5"/>
  <c r="D29" i="5"/>
  <c r="C29" i="5"/>
  <c r="F27" i="5"/>
  <c r="E27" i="5"/>
  <c r="D27" i="5"/>
  <c r="C27" i="5"/>
  <c r="F26" i="5"/>
  <c r="E26" i="5"/>
  <c r="D26" i="5"/>
  <c r="C26" i="5"/>
  <c r="F25" i="5"/>
  <c r="E25" i="5"/>
  <c r="D25" i="5"/>
  <c r="C25" i="5"/>
  <c r="F23" i="5"/>
  <c r="E23" i="5"/>
  <c r="D23" i="5"/>
  <c r="C23" i="5"/>
  <c r="F22" i="5"/>
  <c r="E22" i="5"/>
  <c r="D22" i="5"/>
  <c r="C22" i="5"/>
  <c r="F21" i="5"/>
  <c r="E21" i="5"/>
  <c r="D21" i="5"/>
  <c r="C21" i="5"/>
  <c r="F19" i="5"/>
  <c r="E19" i="5"/>
  <c r="D19" i="5"/>
  <c r="C19" i="5"/>
  <c r="F18" i="5"/>
  <c r="E18" i="5"/>
  <c r="D18" i="5"/>
  <c r="C18" i="5"/>
  <c r="F17" i="5"/>
  <c r="E17" i="5"/>
  <c r="D17" i="5"/>
  <c r="C17" i="5"/>
  <c r="F14" i="5"/>
  <c r="E14" i="5"/>
  <c r="D14" i="5"/>
  <c r="C14" i="5"/>
  <c r="F13" i="5"/>
  <c r="E13" i="5"/>
  <c r="D13" i="5"/>
  <c r="C13" i="5"/>
  <c r="F12" i="5"/>
  <c r="E12" i="5"/>
  <c r="D12" i="5"/>
  <c r="C12" i="5"/>
  <c r="F10" i="5"/>
  <c r="E10" i="5"/>
  <c r="D10" i="5"/>
  <c r="C10" i="5"/>
  <c r="F9" i="5"/>
  <c r="E9" i="5"/>
  <c r="D9" i="5"/>
  <c r="C9" i="5"/>
  <c r="F8" i="5"/>
  <c r="E8" i="5"/>
  <c r="D8" i="5"/>
  <c r="C8" i="5"/>
  <c r="F6" i="5"/>
  <c r="E6" i="5"/>
  <c r="D6" i="5"/>
  <c r="C6" i="5"/>
  <c r="F5" i="5"/>
  <c r="E5" i="5"/>
  <c r="D5" i="5"/>
  <c r="C5" i="5"/>
  <c r="F4" i="5"/>
  <c r="E4" i="5"/>
  <c r="D4" i="5"/>
  <c r="C4" i="5"/>
  <c r="C25" i="7" l="1"/>
  <c r="D25" i="7"/>
  <c r="O6" i="6"/>
  <c r="O16" i="6"/>
  <c r="O23" i="6"/>
  <c r="O30" i="6"/>
  <c r="O40" i="6"/>
  <c r="B27" i="7"/>
  <c r="O5" i="6"/>
  <c r="C26" i="7"/>
  <c r="D26" i="7" s="1"/>
  <c r="D27" i="7"/>
  <c r="C24" i="1"/>
  <c r="F23" i="6"/>
  <c r="B15" i="7"/>
  <c r="B16" i="7" s="1"/>
  <c r="J17" i="7"/>
  <c r="J19" i="7" s="1"/>
  <c r="F25" i="7"/>
  <c r="F27" i="7" s="1"/>
  <c r="N6" i="6"/>
  <c r="N16" i="6"/>
  <c r="N30" i="6"/>
  <c r="N40" i="6"/>
  <c r="N47" i="6"/>
  <c r="O47" i="6" s="1"/>
  <c r="N54" i="6"/>
  <c r="O54" i="6" s="1"/>
  <c r="C15" i="7"/>
  <c r="C16" i="7" s="1"/>
  <c r="G16" i="7"/>
  <c r="G25" i="7"/>
  <c r="G27" i="7" s="1"/>
  <c r="G17" i="7"/>
  <c r="G19" i="7" s="1"/>
  <c r="B25" i="1"/>
  <c r="D15" i="7"/>
  <c r="D16" i="7" s="1"/>
  <c r="H14" i="7"/>
  <c r="M5" i="6"/>
  <c r="M12" i="6"/>
  <c r="O12" i="6" s="1"/>
  <c r="M22" i="6"/>
  <c r="O22" i="6" s="1"/>
  <c r="M29" i="6"/>
  <c r="O29" i="6" s="1"/>
  <c r="M36" i="6"/>
  <c r="O36" i="6" s="1"/>
  <c r="M46" i="6"/>
  <c r="O46" i="6" s="1"/>
  <c r="M53" i="6"/>
  <c r="O53" i="6" s="1"/>
  <c r="F15" i="7"/>
  <c r="F16" i="7" s="1"/>
  <c r="J16" i="7"/>
  <c r="J25" i="7"/>
  <c r="J27" i="7" s="1"/>
  <c r="C18" i="7"/>
  <c r="K14" i="7"/>
  <c r="K25" i="7" l="1"/>
  <c r="K17" i="7"/>
  <c r="K19" i="7" s="1"/>
  <c r="C25" i="1"/>
  <c r="L14" i="7"/>
  <c r="K18" i="7"/>
  <c r="K26" i="7" s="1"/>
  <c r="K15" i="7"/>
  <c r="K16" i="7" s="1"/>
  <c r="C27" i="7"/>
  <c r="H15" i="7"/>
  <c r="D24" i="1"/>
  <c r="H25" i="7"/>
  <c r="H27" i="7" s="1"/>
  <c r="H16" i="7"/>
  <c r="H18" i="7"/>
  <c r="H26" i="7" s="1"/>
  <c r="H17" i="7"/>
  <c r="H19" i="7" s="1"/>
  <c r="L15" i="7" l="1"/>
  <c r="L25" i="7"/>
  <c r="L16" i="7"/>
  <c r="L18" i="7"/>
  <c r="L17" i="7"/>
  <c r="L19" i="7" s="1"/>
  <c r="D25" i="1"/>
  <c r="L26" i="7"/>
  <c r="K27" i="7"/>
  <c r="L27" i="7" l="1"/>
</calcChain>
</file>

<file path=xl/sharedStrings.xml><?xml version="1.0" encoding="utf-8"?>
<sst xmlns="http://schemas.openxmlformats.org/spreadsheetml/2006/main" count="887" uniqueCount="319">
  <si>
    <t>📊  FINANCIAL STATEMENT ANALYSIS — DASHBOARD</t>
  </si>
  <si>
    <t>Food &amp; Beverage Sector  |  Mondelez · PepsiCo · Hershey  |  FY2022–FY2025 Actuals</t>
  </si>
  <si>
    <t xml:space="preserve">  KEY FINANCIALS — FY2025 ACTUALS</t>
  </si>
  <si>
    <t>Metric</t>
  </si>
  <si>
    <t>Mondelez</t>
  </si>
  <si>
    <t>PepsiCo</t>
  </si>
  <si>
    <t>Hershey</t>
  </si>
  <si>
    <t>Unit</t>
  </si>
  <si>
    <t xml:space="preserve">  PROFITABILITY MARGINS — FY2025</t>
  </si>
  <si>
    <t>Gross Margin</t>
  </si>
  <si>
    <t>%</t>
  </si>
  <si>
    <t>Operating Margin</t>
  </si>
  <si>
    <t>Net Profit Margin</t>
  </si>
  <si>
    <t>EBITDA Margin</t>
  </si>
  <si>
    <t xml:space="preserve">  REVENUE PROJECTIONS SUMMARY ($000)</t>
  </si>
  <si>
    <t>Company</t>
  </si>
  <si>
    <t>FY2026</t>
  </si>
  <si>
    <t>FY2027</t>
  </si>
  <si>
    <t>FY2028</t>
  </si>
  <si>
    <t>CAGR</t>
  </si>
  <si>
    <t>5.0%</t>
  </si>
  <si>
    <t>3.0%</t>
  </si>
  <si>
    <t>4.0%</t>
  </si>
  <si>
    <t>Net Margin</t>
  </si>
  <si>
    <t>Income Statement</t>
  </si>
  <si>
    <t xml:space="preserve">Balance Sheet </t>
  </si>
  <si>
    <t xml:space="preserve">Cashflow </t>
  </si>
  <si>
    <t>Particulars</t>
  </si>
  <si>
    <t>Total Revenue</t>
  </si>
  <si>
    <t>Total Assets</t>
  </si>
  <si>
    <t>Operating Cash Flow</t>
  </si>
  <si>
    <t>Operating Revenue</t>
  </si>
  <si>
    <t>Current Assets</t>
  </si>
  <si>
    <t>Cash Flow from Continuing Operating Activities</t>
  </si>
  <si>
    <t>Cost of Revenue</t>
  </si>
  <si>
    <t>Cash, Cash Equivalents &amp; Short Term Investments</t>
  </si>
  <si>
    <t>Net Income from Continuing Operations</t>
  </si>
  <si>
    <t>Gross Profit</t>
  </si>
  <si>
    <t>Cash And Cash Equivalents</t>
  </si>
  <si>
    <t>Operating Gains Losses</t>
  </si>
  <si>
    <t>Operating Expense</t>
  </si>
  <si>
    <t>Receivables</t>
  </si>
  <si>
    <t>Gain Loss On Sale of Business</t>
  </si>
  <si>
    <t>Selling General and Administrative</t>
  </si>
  <si>
    <t>Accounts Receivable</t>
  </si>
  <si>
    <t>Gain Loss On Investment Securities</t>
  </si>
  <si>
    <t>Depreciation Amortization Depletion</t>
  </si>
  <si>
    <t>Gross Accounts Receivable</t>
  </si>
  <si>
    <t>Earnings Losses from Equity Investments</t>
  </si>
  <si>
    <t>Depreciation &amp; Amortization</t>
  </si>
  <si>
    <t>Allowance for Doubtful Accounts</t>
  </si>
  <si>
    <t>Amortization</t>
  </si>
  <si>
    <t>Other Receivables</t>
  </si>
  <si>
    <t>Amortization of Intangibles</t>
  </si>
  <si>
    <t>Inventory</t>
  </si>
  <si>
    <t>Deferred Tax</t>
  </si>
  <si>
    <t>Operating Income</t>
  </si>
  <si>
    <t>Raw Materials</t>
  </si>
  <si>
    <t>Deferred Income Tax</t>
  </si>
  <si>
    <t>Total Operating Income as Reported</t>
  </si>
  <si>
    <t>Finished Goods</t>
  </si>
  <si>
    <t>Asset Impairment Charge</t>
  </si>
  <si>
    <t>Net Non Operating Interest Income Expense</t>
  </si>
  <si>
    <t>Inventory Adjustments</t>
  </si>
  <si>
    <t>—</t>
  </si>
  <si>
    <t>Stock Based Compensation</t>
  </si>
  <si>
    <t>Interest Income Non Operating</t>
  </si>
  <si>
    <t>Other Current Assets</t>
  </si>
  <si>
    <t>Other Non-Cash Items</t>
  </si>
  <si>
    <t>Interest Expense Non Operating</t>
  </si>
  <si>
    <t>Total Non-Current Assets</t>
  </si>
  <si>
    <t>Change in Working Capital</t>
  </si>
  <si>
    <t>Other Income Expense</t>
  </si>
  <si>
    <t>Net PPE</t>
  </si>
  <si>
    <t>Change in Receivables</t>
  </si>
  <si>
    <t>Gain on Sale of Security</t>
  </si>
  <si>
    <t>Gross PPE</t>
  </si>
  <si>
    <t>Change in Inventory</t>
  </si>
  <si>
    <t>Special Income Charges</t>
  </si>
  <si>
    <t>Land &amp; Improvements</t>
  </si>
  <si>
    <t>Change in Payables And Accrued Expense</t>
  </si>
  <si>
    <t>Restructuring &amp; Mergers Acquisition</t>
  </si>
  <si>
    <t>Buildings &amp; Improvements</t>
  </si>
  <si>
    <t>Change in Payable</t>
  </si>
  <si>
    <t>Impairment of Capital Assets</t>
  </si>
  <si>
    <t>Machinery, Furniture, Equipment</t>
  </si>
  <si>
    <t>Change in Account Payable</t>
  </si>
  <si>
    <t>Other Special Charges</t>
  </si>
  <si>
    <t>Other Properties</t>
  </si>
  <si>
    <t>Change in Other Current Assets</t>
  </si>
  <si>
    <t>Other Non Operating Income Expenses</t>
  </si>
  <si>
    <t>Construction in Progress</t>
  </si>
  <si>
    <t>Change in Other Current Liabilities</t>
  </si>
  <si>
    <t>Pretax Income</t>
  </si>
  <si>
    <t>Accumulated Depreciation</t>
  </si>
  <si>
    <t>Change in Other Working Capital</t>
  </si>
  <si>
    <t>Tax Provision</t>
  </si>
  <si>
    <t>Goodwill &amp; Intangible Assets</t>
  </si>
  <si>
    <t>Dividend Received CFO</t>
  </si>
  <si>
    <t>Earnings from Equity Interest Net of Tax</t>
  </si>
  <si>
    <t>Goodwill</t>
  </si>
  <si>
    <t>Investing Cash Flow</t>
  </si>
  <si>
    <t>Net Income Common Stockholders</t>
  </si>
  <si>
    <t>Other Intangible Assets</t>
  </si>
  <si>
    <t>Cash Flow from Continuing Investing Activities</t>
  </si>
  <si>
    <t>Net Income</t>
  </si>
  <si>
    <t>Investments &amp; Advances</t>
  </si>
  <si>
    <t>Capital Expenditure Reported</t>
  </si>
  <si>
    <t>Net Income Including Non-Controlling Interests</t>
  </si>
  <si>
    <t>Long Term Equity Investment</t>
  </si>
  <si>
    <t>Net PPE Purchase And Sale</t>
  </si>
  <si>
    <t>Net Income Continuous Operations</t>
  </si>
  <si>
    <t>Non-Current Deferred Assets</t>
  </si>
  <si>
    <t>Sale of PPE</t>
  </si>
  <si>
    <t>Minority Interests</t>
  </si>
  <si>
    <t>Deferred Tax Assets</t>
  </si>
  <si>
    <t>Net Business Purchase And Sale</t>
  </si>
  <si>
    <t>Diluted NI Available to Com Stockholders</t>
  </si>
  <si>
    <t>Non Current Prepaid Assets</t>
  </si>
  <si>
    <t>Purchase of Business</t>
  </si>
  <si>
    <t>Basic EPS</t>
  </si>
  <si>
    <t>Defined Pension Benefit</t>
  </si>
  <si>
    <t>Sale of Business</t>
  </si>
  <si>
    <t>Diluted EPS</t>
  </si>
  <si>
    <t>Other Non Current Assets</t>
  </si>
  <si>
    <t>Net Investment Purchase And Sale</t>
  </si>
  <si>
    <t>Basic Average Shares</t>
  </si>
  <si>
    <t>Total Liabilities</t>
  </si>
  <si>
    <t>Purchase of Investment</t>
  </si>
  <si>
    <t>Diluted Average Shares</t>
  </si>
  <si>
    <t>Current Liabilities</t>
  </si>
  <si>
    <t>Sale of Investment</t>
  </si>
  <si>
    <t>Total Expenses</t>
  </si>
  <si>
    <t>Payables &amp; Accrued Expenses</t>
  </si>
  <si>
    <t>Financing Cash Flow</t>
  </si>
  <si>
    <t>Net Income from Continuing &amp; Discontinued Operation</t>
  </si>
  <si>
    <t>Accounts Payable</t>
  </si>
  <si>
    <t>Cash Flow from Continuing Financing Activities</t>
  </si>
  <si>
    <t>Normalized Income</t>
  </si>
  <si>
    <t>Current Accrued Expenses</t>
  </si>
  <si>
    <t>Net Issuance Payments of Debt</t>
  </si>
  <si>
    <t>Interest Income</t>
  </si>
  <si>
    <t>Pension Liabilities (Current)</t>
  </si>
  <si>
    <t>Net Long Term Debt Issuance</t>
  </si>
  <si>
    <t>Interest Expense</t>
  </si>
  <si>
    <t>Current Debt</t>
  </si>
  <si>
    <t>Long Term Debt Issuance</t>
  </si>
  <si>
    <t>Net Interest Income</t>
  </si>
  <si>
    <t>Commercial Paper</t>
  </si>
  <si>
    <t>Long Term Debt Payments</t>
  </si>
  <si>
    <t>EBIT</t>
  </si>
  <si>
    <t>Line of Credit</t>
  </si>
  <si>
    <t>Net Short Term Debt Issuance</t>
  </si>
  <si>
    <t>EBITDA</t>
  </si>
  <si>
    <t>Other Borrowings</t>
  </si>
  <si>
    <t>Short Term Debt Issuance</t>
  </si>
  <si>
    <t>Reconciled Cost of Revenue</t>
  </si>
  <si>
    <t>Other Current Liabilities</t>
  </si>
  <si>
    <t>Short Term Debt Payments</t>
  </si>
  <si>
    <t>Reconciled Depreciation</t>
  </si>
  <si>
    <t>Non-Current Liabilities</t>
  </si>
  <si>
    <t>Net Common Stock Issuance</t>
  </si>
  <si>
    <t>Net Income from Continuing Operation Net Minority Interest</t>
  </si>
  <si>
    <t>Long Term Debt</t>
  </si>
  <si>
    <t>Common Stock Payments</t>
  </si>
  <si>
    <t>Total Unusual Items Excluding Goodwill</t>
  </si>
  <si>
    <t>Capital Lease Obligations</t>
  </si>
  <si>
    <t>Cash Dividends Paid</t>
  </si>
  <si>
    <t>Total Unusual Items</t>
  </si>
  <si>
    <t>Deferred Tax Liabilities</t>
  </si>
  <si>
    <t>Common Stock Dividend Paid</t>
  </si>
  <si>
    <t>Normalized EBITDA</t>
  </si>
  <si>
    <t>Employee Benefits</t>
  </si>
  <si>
    <t>Net Other Financing Charges</t>
  </si>
  <si>
    <t>Tax Rate for Calcs</t>
  </si>
  <si>
    <t>Other Non Current Liabilities</t>
  </si>
  <si>
    <t>End Cash Position</t>
  </si>
  <si>
    <t>Tax Effect of Unusual Items</t>
  </si>
  <si>
    <t>Total Equity</t>
  </si>
  <si>
    <t>Changes in Cash</t>
  </si>
  <si>
    <t>Stockholders’ Equity</t>
  </si>
  <si>
    <t>Effect of Exchange Rate Changes</t>
  </si>
  <si>
    <t>Additional Paid-in Capital</t>
  </si>
  <si>
    <t>Beginning Cash Position</t>
  </si>
  <si>
    <t>Retained Earnings</t>
  </si>
  <si>
    <t>Income Tax Paid Supplemental Data</t>
  </si>
  <si>
    <t>Treasury Stock</t>
  </si>
  <si>
    <t>Interest Paid Supplemental Data</t>
  </si>
  <si>
    <t>Other Equity Adjustments</t>
  </si>
  <si>
    <t>Capital Expenditure</t>
  </si>
  <si>
    <t>Minority Interest</t>
  </si>
  <si>
    <t>Issuance of Debt</t>
  </si>
  <si>
    <t>Total Debt</t>
  </si>
  <si>
    <t>Repayment of Debt</t>
  </si>
  <si>
    <t>Net Debt</t>
  </si>
  <si>
    <t>Repurchase of Capital Stock</t>
  </si>
  <si>
    <t>Working Capital</t>
  </si>
  <si>
    <t>Free Cash Flow</t>
  </si>
  <si>
    <t>Net Tangible Assets</t>
  </si>
  <si>
    <t>Invested Capital</t>
  </si>
  <si>
    <t>Shares Issued</t>
  </si>
  <si>
    <t>Ordinary Shares</t>
  </si>
  <si>
    <t>Treasury Shares</t>
  </si>
  <si>
    <t>Other Short Term Investments</t>
  </si>
  <si>
    <t>Pension and Employee Benefit Expense</t>
  </si>
  <si>
    <t>Receivables Adjustments Allowances</t>
  </si>
  <si>
    <t>Depreciation</t>
  </si>
  <si>
    <t>Work in Process</t>
  </si>
  <si>
    <t>Prepaid Assets</t>
  </si>
  <si>
    <t>Assets Held for Sale Current</t>
  </si>
  <si>
    <t>Change in Prepaid Assets</t>
  </si>
  <si>
    <t>Change in Payables &amp; Accrued Expense</t>
  </si>
  <si>
    <t>Change in Tax Payable</t>
  </si>
  <si>
    <t>Machinery Furniture Equipment</t>
  </si>
  <si>
    <t>Change in Income Tax Payable</t>
  </si>
  <si>
    <t>Taxes Refund Paid</t>
  </si>
  <si>
    <t>Net PPE Purchase &amp; Sale</t>
  </si>
  <si>
    <t>Net Business Purchase &amp; Sale</t>
  </si>
  <si>
    <t>Other Investments</t>
  </si>
  <si>
    <t>Non Current Note Receivables</t>
  </si>
  <si>
    <t>Non Current Deferred Assets</t>
  </si>
  <si>
    <t>Net Investment Purchase &amp; Sale</t>
  </si>
  <si>
    <t>Net Other Investing Changes</t>
  </si>
  <si>
    <t>Payables</t>
  </si>
  <si>
    <t>Dividends Payable</t>
  </si>
  <si>
    <t>Pension &amp; Other Post Retirement Benefit Plans Current</t>
  </si>
  <si>
    <t>Other Current Borrowings</t>
  </si>
  <si>
    <t>Current Capital Lease Obligation</t>
  </si>
  <si>
    <t>Proceeds from Stock Option Exercised</t>
  </si>
  <si>
    <t>Common Stock</t>
  </si>
  <si>
    <t>Additional Paid in Capital</t>
  </si>
  <si>
    <t>Cash &amp; Cash Equivalents</t>
  </si>
  <si>
    <t>General &amp; Administrative Expense</t>
  </si>
  <si>
    <t>Salaries and Wages</t>
  </si>
  <si>
    <t>Other G &amp; A</t>
  </si>
  <si>
    <t>Changes in Account Receivables</t>
  </si>
  <si>
    <t>Write Off</t>
  </si>
  <si>
    <t>Machinery, Furniture &amp; Equipment</t>
  </si>
  <si>
    <t>Net Intangibles Purchase And Sale</t>
  </si>
  <si>
    <t>Purchase of Intangibles</t>
  </si>
  <si>
    <t>Income Tax Payable</t>
  </si>
  <si>
    <t>Other Payables</t>
  </si>
  <si>
    <t>Capital Lease (Current)</t>
  </si>
  <si>
    <t>Other Cash Adjustment Outside Change in Cash</t>
  </si>
  <si>
    <t>RATIO ANALYSIS</t>
  </si>
  <si>
    <t>Ratio</t>
  </si>
  <si>
    <t>LIQUIDITY RATIOS</t>
  </si>
  <si>
    <t>Current Ratio</t>
  </si>
  <si>
    <t>Mondelez.</t>
  </si>
  <si>
    <t>Current Asset/ Current Liabilities</t>
  </si>
  <si>
    <t>Pepsico</t>
  </si>
  <si>
    <t>Quick Ratio</t>
  </si>
  <si>
    <t>(Current Asset-Inventory)/ Current Liabilities</t>
  </si>
  <si>
    <t>Cash Ratio</t>
  </si>
  <si>
    <t>Cash and Cash Equivalents/ Current Liabilities</t>
  </si>
  <si>
    <t>PROFITABILITY RATIOS</t>
  </si>
  <si>
    <t>Gross Profit/ Revenue</t>
  </si>
  <si>
    <t>Operating Profit Margin</t>
  </si>
  <si>
    <t>Operating Income/ Revenue</t>
  </si>
  <si>
    <t>Net Income/ Revenue</t>
  </si>
  <si>
    <t>Return on Assets (ROA)</t>
  </si>
  <si>
    <t>Net Income/ Total Assets</t>
  </si>
  <si>
    <t>Return on Equity (ROE)</t>
  </si>
  <si>
    <t>Net Income/ Shareholders Equity</t>
  </si>
  <si>
    <t>SOLVENCY RATIOS</t>
  </si>
  <si>
    <t>Debt-to-Equity</t>
  </si>
  <si>
    <t>Total Debt/ Total Equity</t>
  </si>
  <si>
    <t>Debt-to-Assets</t>
  </si>
  <si>
    <t>Total Debt/ Total Asset</t>
  </si>
  <si>
    <t>Interest Coverage (x)</t>
  </si>
  <si>
    <t>EBIT/ Interest Expense</t>
  </si>
  <si>
    <t xml:space="preserve">Debt to EBITDA </t>
  </si>
  <si>
    <t>Total Debt/ EBITDA</t>
  </si>
  <si>
    <t>Debt to Capital</t>
  </si>
  <si>
    <t>EFFICIENCY RATIOS</t>
  </si>
  <si>
    <t>Asset Turnover (x)</t>
  </si>
  <si>
    <t>Revenue/ Total Assets</t>
  </si>
  <si>
    <t>Fixed Assets turnover Ratio</t>
  </si>
  <si>
    <t xml:space="preserve">Revenue/fixed assets </t>
  </si>
  <si>
    <t xml:space="preserve">Working Capital turnover </t>
  </si>
  <si>
    <t>Trvenue / Working capital</t>
  </si>
  <si>
    <t>Inventory Turnover (x)</t>
  </si>
  <si>
    <t>Cost of Goods Sold (Cost of Revenue) / Inventory</t>
  </si>
  <si>
    <t>Days of Inventory on Hand</t>
  </si>
  <si>
    <t>365/Inventory turnover</t>
  </si>
  <si>
    <t>Receivables Turnover (x)</t>
  </si>
  <si>
    <t>Revenue/ Accounts Receivable</t>
  </si>
  <si>
    <t>Days Sales Outstanding</t>
  </si>
  <si>
    <t>365/Receivables turnover</t>
  </si>
  <si>
    <t>VALUATION RATIOS</t>
  </si>
  <si>
    <t xml:space="preserve">Eps </t>
  </si>
  <si>
    <t xml:space="preserve">TREND ANALYSIS </t>
  </si>
  <si>
    <t>TREND ANALYSIS (yoy Growth)</t>
  </si>
  <si>
    <t xml:space="preserve">REVENUE </t>
  </si>
  <si>
    <t>Trend</t>
  </si>
  <si>
    <t>Average</t>
  </si>
  <si>
    <t>NET INCOME</t>
  </si>
  <si>
    <t xml:space="preserve">EBITDA </t>
  </si>
  <si>
    <t xml:space="preserve">TOTAL ASSETS </t>
  </si>
  <si>
    <t xml:space="preserve">TOTAL LIABILITIES </t>
  </si>
  <si>
    <t>Profit(Net Income )</t>
  </si>
  <si>
    <t>Cash Flow from Operations</t>
  </si>
  <si>
    <t>Cash Flow from investing Activities</t>
  </si>
  <si>
    <t>Cash Flow from financing Activities</t>
  </si>
  <si>
    <t>Assumption</t>
  </si>
  <si>
    <t>Revenue Growth Rate (Annual)</t>
  </si>
  <si>
    <t>COGS % of Revenue</t>
  </si>
  <si>
    <t>D&amp;A % of Revenue (est.)</t>
  </si>
  <si>
    <t>Total Assets / Revenue Ratio (x)</t>
  </si>
  <si>
    <t>PROJECTED INCOME STATEMENT</t>
  </si>
  <si>
    <t>PROJECTED BALANCE SHEET</t>
  </si>
  <si>
    <t>FINANCIAL PROJECTIONS</t>
  </si>
  <si>
    <t xml:space="preserve">PROJECTION ASSUMPTIONS  </t>
  </si>
  <si>
    <t xml:space="preserve">Total Revenue </t>
  </si>
  <si>
    <t xml:space="preserve">Gross Profit </t>
  </si>
  <si>
    <t xml:space="preserve">Operating Income </t>
  </si>
  <si>
    <t xml:space="preserve">Net Income </t>
  </si>
  <si>
    <t xml:space="preserve">Total Assets </t>
  </si>
  <si>
    <t xml:space="preserve">Total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</si>
</sst>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#,##0;\(#,##0\);\-"/>
  </numFmts>
  <fonts count="23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b/>
      <sz val="11"/>
      <color theme="1"/>
      <name val="Aptos Narrow"/>
      <family val="2"/>
      <charset val="1"/>
    </font>
    <font>
      <b/>
      <sz val="13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9"/>
      <color rgb="FFC00000"/>
      <name val="Arial"/>
      <family val="2"/>
      <charset val="1"/>
    </font>
    <font>
      <sz val="10"/>
      <color theme="1"/>
      <name val="Arial"/>
      <family val="2"/>
      <charset val="1"/>
    </font>
    <font>
      <b/>
      <sz val="9"/>
      <color rgb="FF1A5276"/>
      <name val="Arial"/>
      <family val="2"/>
      <charset val="1"/>
    </font>
    <font>
      <b/>
      <sz val="9"/>
      <color rgb="FF1E8449"/>
      <name val="Arial"/>
      <family val="2"/>
      <charset val="1"/>
    </font>
    <font>
      <sz val="11"/>
      <name val="Aptos Narrow"/>
      <family val="2"/>
      <charset val="1"/>
    </font>
    <font>
      <b/>
      <sz val="11"/>
      <name val="Aptos Narrow"/>
      <family val="2"/>
      <charset val="1"/>
    </font>
    <font>
      <b/>
      <sz val="13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b/>
      <sz val="9"/>
      <name val="Arial"/>
      <family val="2"/>
      <charset val="1"/>
    </font>
    <font>
      <b/>
      <sz val="13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 indent="1"/>
    </xf>
    <xf numFmtId="0" fontId="7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center"/>
    </xf>
    <xf numFmtId="166" fontId="1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right"/>
    </xf>
    <xf numFmtId="10" fontId="12" fillId="0" borderId="0" xfId="0" applyNumberFormat="1" applyFont="1"/>
    <xf numFmtId="10" fontId="11" fillId="0" borderId="0" xfId="0" applyNumberFormat="1" applyFont="1"/>
    <xf numFmtId="3" fontId="11" fillId="0" borderId="0" xfId="0" applyNumberFormat="1" applyFont="1"/>
    <xf numFmtId="3" fontId="14" fillId="0" borderId="0" xfId="0" applyNumberFormat="1" applyFont="1"/>
    <xf numFmtId="3" fontId="4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1" fillId="0" borderId="0" xfId="0" applyNumberFormat="1" applyFont="1"/>
    <xf numFmtId="0" fontId="2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7030A0"/>
      <rgbColor rgb="FFFFF2CC"/>
      <rgbColor rgb="FFDEEAF1"/>
      <rgbColor rgb="FF660066"/>
      <rgbColor rgb="FFFF8080"/>
      <rgbColor rgb="FF0066CC"/>
      <rgbColor rgb="FFE2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F5F5"/>
      <rgbColor rgb="FFBDD7EE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E97132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1A527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Revenue Comparison — Historical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Mondelez</c:v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'!$B$4:$E$4</c:f>
              <c:numCache>
                <c:formatCode>#,##0;\(#,##0\);\-</c:formatCode>
                <c:ptCount val="4"/>
                <c:pt idx="0">
                  <c:v>31496000</c:v>
                </c:pt>
                <c:pt idx="1">
                  <c:v>36016000</c:v>
                </c:pt>
                <c:pt idx="2">
                  <c:v>36441000</c:v>
                </c:pt>
                <c:pt idx="3">
                  <c:v>38537000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6-4549-BB07-8E1299271E5F}"/>
            </c:ext>
          </c:extLst>
        </c:ser>
        <c:ser>
          <c:idx val="1"/>
          <c:order val="1"/>
          <c:tx>
            <c:v>PepsiCo</c:v>
          </c:tx>
          <c:spPr>
            <a:solidFill>
              <a:srgbClr val="37562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'!$B$5:$E$5</c:f>
              <c:numCache>
                <c:formatCode>#,##0;\(#,##0\);\-</c:formatCode>
                <c:ptCount val="4"/>
                <c:pt idx="0">
                  <c:v>86392000</c:v>
                </c:pt>
                <c:pt idx="1">
                  <c:v>91471000</c:v>
                </c:pt>
                <c:pt idx="2">
                  <c:v>91854000</c:v>
                </c:pt>
                <c:pt idx="3">
                  <c:v>93925000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6-4549-BB07-8E1299271E5F}"/>
            </c:ext>
          </c:extLst>
        </c:ser>
        <c:ser>
          <c:idx val="2"/>
          <c:order val="2"/>
          <c:tx>
            <c:v>Hershey</c:v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'!$B$6:$E$6</c:f>
              <c:numCache>
                <c:formatCode>#,##0;\(#,##0\);\-</c:formatCode>
                <c:ptCount val="4"/>
                <c:pt idx="0">
                  <c:v>10419294</c:v>
                </c:pt>
                <c:pt idx="1">
                  <c:v>11164992</c:v>
                </c:pt>
                <c:pt idx="2">
                  <c:v>11202263</c:v>
                </c:pt>
                <c:pt idx="3">
                  <c:v>11692576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6-4549-BB07-8E1299271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81930"/>
        <c:axId val="32454976"/>
      </c:barChart>
      <c:catAx>
        <c:axId val="76581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2454976"/>
        <c:crosses val="autoZero"/>
        <c:auto val="1"/>
        <c:lblAlgn val="ctr"/>
        <c:lblOffset val="100"/>
        <c:noMultiLvlLbl val="0"/>
      </c:catAx>
      <c:valAx>
        <c:axId val="3245497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Revenue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581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Net Income Comparison — Historical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Mondelez</c:v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'!$B$10:$E$10</c:f>
              <c:numCache>
                <c:formatCode>#,##0;\(#,##0\);\-</c:formatCode>
                <c:ptCount val="4"/>
                <c:pt idx="0">
                  <c:v>2717000</c:v>
                </c:pt>
                <c:pt idx="1">
                  <c:v>4959000</c:v>
                </c:pt>
                <c:pt idx="2">
                  <c:v>4611000</c:v>
                </c:pt>
                <c:pt idx="3">
                  <c:v>2451000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4E00-9037-02C19AEF33C6}"/>
            </c:ext>
          </c:extLst>
        </c:ser>
        <c:ser>
          <c:idx val="1"/>
          <c:order val="1"/>
          <c:tx>
            <c:v>PepsiCo</c:v>
          </c:tx>
          <c:spPr>
            <a:solidFill>
              <a:srgbClr val="37562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'!$B$11:$E$11</c:f>
              <c:numCache>
                <c:formatCode>#,##0;\(#,##0\);\-</c:formatCode>
                <c:ptCount val="4"/>
                <c:pt idx="0">
                  <c:v>8910000</c:v>
                </c:pt>
                <c:pt idx="1">
                  <c:v>9074000</c:v>
                </c:pt>
                <c:pt idx="2">
                  <c:v>9578000</c:v>
                </c:pt>
                <c:pt idx="3">
                  <c:v>8240000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4E00-9037-02C19AEF33C6}"/>
            </c:ext>
          </c:extLst>
        </c:ser>
        <c:ser>
          <c:idx val="2"/>
          <c:order val="2"/>
          <c:tx>
            <c:v>Hershey</c:v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'!$B$12:$E$12</c:f>
              <c:numCache>
                <c:formatCode>#,##0;\(#,##0\);\-</c:formatCode>
                <c:ptCount val="4"/>
                <c:pt idx="0">
                  <c:v>1644817</c:v>
                </c:pt>
                <c:pt idx="1">
                  <c:v>1861787</c:v>
                </c:pt>
                <c:pt idx="2">
                  <c:v>2221239</c:v>
                </c:pt>
                <c:pt idx="3">
                  <c:v>883259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2-4E00-9037-02C19AEF3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05062"/>
        <c:axId val="3982208"/>
      </c:barChart>
      <c:catAx>
        <c:axId val="47505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982208"/>
        <c:crosses val="autoZero"/>
        <c:auto val="1"/>
        <c:lblAlgn val="ctr"/>
        <c:lblOffset val="100"/>
        <c:noMultiLvlLbl val="0"/>
      </c:catAx>
      <c:valAx>
        <c:axId val="398220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Net Income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7505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Margin Analysis — FY2025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Dashboard!$A$71:$A$73</c:f>
              <c:strCache>
                <c:ptCount val="3"/>
                <c:pt idx="0">
                  <c:v>Mondelez</c:v>
                </c:pt>
                <c:pt idx="1">
                  <c:v>PepsiCo</c:v>
                </c:pt>
                <c:pt idx="2">
                  <c:v>Hershey</c:v>
                </c:pt>
              </c:strCache>
            </c:strRef>
          </c:cat>
          <c:val>
            <c:numRef>
              <c:f>Dashboard!$B$71:$B$73</c:f>
              <c:numCache>
                <c:formatCode>0.0%</c:formatCode>
                <c:ptCount val="3"/>
                <c:pt idx="0">
                  <c:v>0.28375327607234607</c:v>
                </c:pt>
                <c:pt idx="1">
                  <c:v>0.54148522757519302</c:v>
                </c:pt>
                <c:pt idx="2">
                  <c:v>0.33548561069861765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7-4517-9DCA-F4891E97DAA6}"/>
            </c:ext>
          </c:extLst>
        </c:ser>
        <c:ser>
          <c:idx val="1"/>
          <c:order val="1"/>
          <c:tx>
            <c:strRef>
              <c:f>Dashboard!$C$70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Dashboard!$A$71:$A$73</c:f>
              <c:strCache>
                <c:ptCount val="3"/>
                <c:pt idx="0">
                  <c:v>Mondelez</c:v>
                </c:pt>
                <c:pt idx="1">
                  <c:v>PepsiCo</c:v>
                </c:pt>
                <c:pt idx="2">
                  <c:v>Hershey</c:v>
                </c:pt>
              </c:strCache>
            </c:strRef>
          </c:cat>
          <c:val>
            <c:numRef>
              <c:f>Dashboard!$C$71:$C$73</c:f>
              <c:numCache>
                <c:formatCode>0.0%</c:formatCode>
                <c:ptCount val="3"/>
                <c:pt idx="0">
                  <c:v>9.3935698160209663E-2</c:v>
                </c:pt>
                <c:pt idx="1">
                  <c:v>0.143635879691243</c:v>
                </c:pt>
                <c:pt idx="2">
                  <c:v>0.12504703839427686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7-4517-9DCA-F4891E97DAA6}"/>
            </c:ext>
          </c:extLst>
        </c:ser>
        <c:ser>
          <c:idx val="2"/>
          <c:order val="2"/>
          <c:tx>
            <c:strRef>
              <c:f>Dashboard!$D$70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Dashboard!$A$71:$A$73</c:f>
              <c:strCache>
                <c:ptCount val="3"/>
                <c:pt idx="0">
                  <c:v>Mondelez</c:v>
                </c:pt>
                <c:pt idx="1">
                  <c:v>PepsiCo</c:v>
                </c:pt>
                <c:pt idx="2">
                  <c:v>Hershey</c:v>
                </c:pt>
              </c:strCache>
            </c:strRef>
          </c:cat>
          <c:val>
            <c:numRef>
              <c:f>Dashboard!$D$71:$D$73</c:f>
              <c:numCache>
                <c:formatCode>0.0%</c:formatCode>
                <c:ptCount val="3"/>
                <c:pt idx="0">
                  <c:v>6.3601214417313229E-2</c:v>
                </c:pt>
                <c:pt idx="1">
                  <c:v>8.7729571466595685E-2</c:v>
                </c:pt>
                <c:pt idx="2">
                  <c:v>7.5540154710134019E-2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7-4517-9DCA-F4891E97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60937"/>
        <c:axId val="43002759"/>
      </c:barChart>
      <c:catAx>
        <c:axId val="602609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3002759"/>
        <c:crosses val="autoZero"/>
        <c:auto val="1"/>
        <c:lblAlgn val="ctr"/>
        <c:lblOffset val="100"/>
        <c:noMultiLvlLbl val="0"/>
      </c:catAx>
      <c:valAx>
        <c:axId val="43002759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0260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Projected Revenue (FY2026–2028)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Mondelez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Projections'!$B$14:$D$14</c:f>
              <c:numCache>
                <c:formatCode>#,##0</c:formatCode>
                <c:ptCount val="3"/>
                <c:pt idx="0">
                  <c:v>40463850</c:v>
                </c:pt>
                <c:pt idx="1">
                  <c:v>42487042.5</c:v>
                </c:pt>
                <c:pt idx="2">
                  <c:v>44611394.625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A6-4AF4-84A7-CBF4A4299A34}"/>
            </c:ext>
          </c:extLst>
        </c:ser>
        <c:ser>
          <c:idx val="1"/>
          <c:order val="1"/>
          <c:tx>
            <c:v>PepsiCo</c:v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Projections'!$F$14:$H$14</c:f>
              <c:numCache>
                <c:formatCode>#,##0</c:formatCode>
                <c:ptCount val="3"/>
                <c:pt idx="0">
                  <c:v>96742750</c:v>
                </c:pt>
                <c:pt idx="1">
                  <c:v>99645032.5</c:v>
                </c:pt>
                <c:pt idx="2">
                  <c:v>102634383.47500001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A6-4AF4-84A7-CBF4A4299A34}"/>
            </c:ext>
          </c:extLst>
        </c:ser>
        <c:ser>
          <c:idx val="2"/>
          <c:order val="2"/>
          <c:tx>
            <c:v>Hershey</c:v>
          </c:tx>
          <c:spPr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Projections'!$J$14:$L$14</c:f>
              <c:numCache>
                <c:formatCode>#,##0</c:formatCode>
                <c:ptCount val="3"/>
                <c:pt idx="0">
                  <c:v>12160279.040000001</c:v>
                </c:pt>
                <c:pt idx="1">
                  <c:v>12646690.201600002</c:v>
                </c:pt>
                <c:pt idx="2">
                  <c:v>13152557.809664004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A6-4AF4-84A7-CBF4A429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074318"/>
        <c:axId val="55346484"/>
      </c:lineChart>
      <c:catAx>
        <c:axId val="66074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5346484"/>
        <c:crosses val="autoZero"/>
        <c:auto val="1"/>
        <c:lblAlgn val="ctr"/>
        <c:lblOffset val="100"/>
        <c:noMultiLvlLbl val="0"/>
      </c:catAx>
      <c:valAx>
        <c:axId val="5534648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Revenue 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6074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Revenue Trend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Mondelez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'!$B$4:$E$4</c:f>
              <c:numCache>
                <c:formatCode>#,##0;\(#,##0\);\-</c:formatCode>
                <c:ptCount val="4"/>
                <c:pt idx="0">
                  <c:v>31496000</c:v>
                </c:pt>
                <c:pt idx="1">
                  <c:v>36016000</c:v>
                </c:pt>
                <c:pt idx="2">
                  <c:v>36441000</c:v>
                </c:pt>
                <c:pt idx="3">
                  <c:v>38537000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D5-4131-A078-5919B7DFDAE7}"/>
            </c:ext>
          </c:extLst>
        </c:ser>
        <c:ser>
          <c:idx val="1"/>
          <c:order val="1"/>
          <c:tx>
            <c:v>PepsiCo</c:v>
          </c:tx>
          <c:spPr>
            <a:ln w="2016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'!$B$5:$E$5</c:f>
              <c:numCache>
                <c:formatCode>#,##0;\(#,##0\);\-</c:formatCode>
                <c:ptCount val="4"/>
                <c:pt idx="0">
                  <c:v>86392000</c:v>
                </c:pt>
                <c:pt idx="1">
                  <c:v>91471000</c:v>
                </c:pt>
                <c:pt idx="2">
                  <c:v>91854000</c:v>
                </c:pt>
                <c:pt idx="3">
                  <c:v>93925000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D5-4131-A078-5919B7DFDAE7}"/>
            </c:ext>
          </c:extLst>
        </c:ser>
        <c:ser>
          <c:idx val="2"/>
          <c:order val="2"/>
          <c:tx>
            <c:v>Hershey</c:v>
          </c:tx>
          <c:spPr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'!$B$6:$E$6</c:f>
              <c:numCache>
                <c:formatCode>#,##0;\(#,##0\);\-</c:formatCode>
                <c:ptCount val="4"/>
                <c:pt idx="0">
                  <c:v>10419294</c:v>
                </c:pt>
                <c:pt idx="1">
                  <c:v>11164992</c:v>
                </c:pt>
                <c:pt idx="2">
                  <c:v>11202263</c:v>
                </c:pt>
                <c:pt idx="3">
                  <c:v>11692576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D5-4131-A078-5919B7DFD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637967"/>
        <c:axId val="76688834"/>
      </c:lineChart>
      <c:catAx>
        <c:axId val="7663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688834"/>
        <c:crosses val="autoZero"/>
        <c:auto val="1"/>
        <c:lblAlgn val="ctr"/>
        <c:lblOffset val="100"/>
        <c:noMultiLvlLbl val="0"/>
      </c:catAx>
      <c:valAx>
        <c:axId val="7668883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6379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Net Income Trend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Mondelez</c:v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'!$B$10:$E$10</c:f>
              <c:numCache>
                <c:formatCode>#,##0;\(#,##0\);\-</c:formatCode>
                <c:ptCount val="4"/>
                <c:pt idx="0">
                  <c:v>2717000</c:v>
                </c:pt>
                <c:pt idx="1">
                  <c:v>4959000</c:v>
                </c:pt>
                <c:pt idx="2">
                  <c:v>4611000</c:v>
                </c:pt>
                <c:pt idx="3">
                  <c:v>2451000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A-4E77-B47F-EB6AB283FA3F}"/>
            </c:ext>
          </c:extLst>
        </c:ser>
        <c:ser>
          <c:idx val="1"/>
          <c:order val="1"/>
          <c:tx>
            <c:v>PepsiCo</c:v>
          </c:tx>
          <c:spPr>
            <a:solidFill>
              <a:srgbClr val="37562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'!$B$11:$E$11</c:f>
              <c:numCache>
                <c:formatCode>#,##0;\(#,##0\);\-</c:formatCode>
                <c:ptCount val="4"/>
                <c:pt idx="0">
                  <c:v>8910000</c:v>
                </c:pt>
                <c:pt idx="1">
                  <c:v>9074000</c:v>
                </c:pt>
                <c:pt idx="2">
                  <c:v>9578000</c:v>
                </c:pt>
                <c:pt idx="3">
                  <c:v>8240000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A-4E77-B47F-EB6AB283FA3F}"/>
            </c:ext>
          </c:extLst>
        </c:ser>
        <c:ser>
          <c:idx val="2"/>
          <c:order val="2"/>
          <c:tx>
            <c:v>Hershey</c:v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'!$B$12:$E$12</c:f>
              <c:numCache>
                <c:formatCode>#,##0;\(#,##0\);\-</c:formatCode>
                <c:ptCount val="4"/>
                <c:pt idx="0">
                  <c:v>1644817</c:v>
                </c:pt>
                <c:pt idx="1">
                  <c:v>1861787</c:v>
                </c:pt>
                <c:pt idx="2">
                  <c:v>2221239</c:v>
                </c:pt>
                <c:pt idx="3">
                  <c:v>883259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A-4E77-B47F-EB6AB283F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239960"/>
        <c:axId val="33294635"/>
      </c:barChart>
      <c:catAx>
        <c:axId val="9023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3294635"/>
        <c:crosses val="autoZero"/>
        <c:auto val="1"/>
        <c:lblAlgn val="ctr"/>
        <c:lblOffset val="100"/>
        <c:noMultiLvlLbl val="0"/>
      </c:catAx>
      <c:valAx>
        <c:axId val="3329463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0239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EBITDA Trend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Mondelez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'!$B$16:$E$16</c:f>
              <c:numCache>
                <c:formatCode>#,##0;\(#,##0\);\-</c:formatCode>
                <c:ptCount val="4"/>
                <c:pt idx="0">
                  <c:v>4763000</c:v>
                </c:pt>
                <c:pt idx="1">
                  <c:v>7645000</c:v>
                </c:pt>
                <c:pt idx="2">
                  <c:v>8071000</c:v>
                </c:pt>
                <c:pt idx="3">
                  <c:v>4971000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8B-4E78-AF36-EF3F2B2F7ACA}"/>
            </c:ext>
          </c:extLst>
        </c:ser>
        <c:ser>
          <c:idx val="1"/>
          <c:order val="1"/>
          <c:tx>
            <c:v>PepsiCo</c:v>
          </c:tx>
          <c:spPr>
            <a:ln w="2016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'!$B$17:$E$17</c:f>
              <c:numCache>
                <c:formatCode>#,##0;\(#,##0\);\-</c:formatCode>
                <c:ptCount val="4"/>
                <c:pt idx="0">
                  <c:v>14924000</c:v>
                </c:pt>
                <c:pt idx="1">
                  <c:v>15754000</c:v>
                </c:pt>
                <c:pt idx="2">
                  <c:v>16680000</c:v>
                </c:pt>
                <c:pt idx="3">
                  <c:v>15543000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8B-4E78-AF36-EF3F2B2F7ACA}"/>
            </c:ext>
          </c:extLst>
        </c:ser>
        <c:ser>
          <c:idx val="2"/>
          <c:order val="2"/>
          <c:tx>
            <c:v>Hershey</c:v>
          </c:tx>
          <c:spPr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'!$B$18:$E$18</c:f>
              <c:numCache>
                <c:formatCode>#,##0;\(#,##0\);\-</c:formatCode>
                <c:ptCount val="4"/>
                <c:pt idx="0">
                  <c:v>2436125</c:v>
                </c:pt>
                <c:pt idx="1">
                  <c:v>2753190</c:v>
                </c:pt>
                <c:pt idx="2">
                  <c:v>3103508</c:v>
                </c:pt>
                <c:pt idx="3">
                  <c:v>1942715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8B-4E78-AF36-EF3F2B2F7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040914"/>
        <c:axId val="57529016"/>
      </c:lineChart>
      <c:catAx>
        <c:axId val="53040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7529016"/>
        <c:crosses val="autoZero"/>
        <c:auto val="1"/>
        <c:lblAlgn val="ctr"/>
        <c:lblOffset val="100"/>
        <c:noMultiLvlLbl val="0"/>
      </c:catAx>
      <c:valAx>
        <c:axId val="5752901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3040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Total Assets Trend (2022–2025)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Mondelez</c:v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'!$B$22:$E$22</c:f>
              <c:numCache>
                <c:formatCode>#,##0;\(#,##0\);\-</c:formatCode>
                <c:ptCount val="4"/>
                <c:pt idx="0">
                  <c:v>71161000</c:v>
                </c:pt>
                <c:pt idx="1">
                  <c:v>71391000</c:v>
                </c:pt>
                <c:pt idx="2">
                  <c:v>68497000</c:v>
                </c:pt>
                <c:pt idx="3">
                  <c:v>71487000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F6-49ED-ACC5-854B8E2E7FA4}"/>
            </c:ext>
          </c:extLst>
        </c:ser>
        <c:ser>
          <c:idx val="1"/>
          <c:order val="1"/>
          <c:tx>
            <c:v>PepsiCo</c:v>
          </c:tx>
          <c:spPr>
            <a:ln w="2016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'!$B$23:$E$23</c:f>
              <c:numCache>
                <c:formatCode>#,##0;\(#,##0\);\-</c:formatCode>
                <c:ptCount val="4"/>
                <c:pt idx="0">
                  <c:v>92187000</c:v>
                </c:pt>
                <c:pt idx="1">
                  <c:v>100495000</c:v>
                </c:pt>
                <c:pt idx="2">
                  <c:v>99467000</c:v>
                </c:pt>
                <c:pt idx="3">
                  <c:v>107399000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F6-49ED-ACC5-854B8E2E7FA4}"/>
            </c:ext>
          </c:extLst>
        </c:ser>
        <c:ser>
          <c:idx val="2"/>
          <c:order val="2"/>
          <c:tx>
            <c:v>Hershey</c:v>
          </c:tx>
          <c:spPr>
            <a:ln w="201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'Trend Analysis '!$B$24:$E$24</c:f>
              <c:numCache>
                <c:formatCode>#,##0;\(#,##0\);\-</c:formatCode>
                <c:ptCount val="4"/>
                <c:pt idx="0">
                  <c:v>10948820</c:v>
                </c:pt>
                <c:pt idx="1">
                  <c:v>11902941</c:v>
                </c:pt>
                <c:pt idx="2">
                  <c:v>12946861</c:v>
                </c:pt>
                <c:pt idx="3">
                  <c:v>13741297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F6-49ED-ACC5-854B8E2E7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29060"/>
        <c:axId val="49710377"/>
      </c:lineChart>
      <c:catAx>
        <c:axId val="5829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9710377"/>
        <c:crosses val="autoZero"/>
        <c:auto val="1"/>
        <c:lblAlgn val="ctr"/>
        <c:lblOffset val="100"/>
        <c:noMultiLvlLbl val="0"/>
      </c:catAx>
      <c:valAx>
        <c:axId val="4971037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829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Projected Revenue (FY2026–2028)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Mondelez</c:v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Projections'!$B$14:$D$14</c:f>
              <c:numCache>
                <c:formatCode>#,##0</c:formatCode>
                <c:ptCount val="3"/>
                <c:pt idx="0">
                  <c:v>40463850</c:v>
                </c:pt>
                <c:pt idx="1">
                  <c:v>42487042.5</c:v>
                </c:pt>
                <c:pt idx="2">
                  <c:v>44611394.625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5-4137-8CBB-D4E3BC91D766}"/>
            </c:ext>
          </c:extLst>
        </c:ser>
        <c:ser>
          <c:idx val="1"/>
          <c:order val="1"/>
          <c:tx>
            <c:v>PepsiCo</c:v>
          </c:tx>
          <c:spPr>
            <a:solidFill>
              <a:srgbClr val="37562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Projections'!$F$14:$H$14</c:f>
              <c:numCache>
                <c:formatCode>#,##0</c:formatCode>
                <c:ptCount val="3"/>
                <c:pt idx="0">
                  <c:v>96742750</c:v>
                </c:pt>
                <c:pt idx="1">
                  <c:v>99645032.5</c:v>
                </c:pt>
                <c:pt idx="2">
                  <c:v>102634383.47500001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5-4137-8CBB-D4E3BC91D766}"/>
            </c:ext>
          </c:extLst>
        </c:ser>
        <c:ser>
          <c:idx val="2"/>
          <c:order val="2"/>
          <c:tx>
            <c:v>Hershey</c:v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Projections'!$J$14:$L$14</c:f>
              <c:numCache>
                <c:formatCode>#,##0</c:formatCode>
                <c:ptCount val="3"/>
                <c:pt idx="0">
                  <c:v>12160279.040000001</c:v>
                </c:pt>
                <c:pt idx="1">
                  <c:v>12646690.201600002</c:v>
                </c:pt>
                <c:pt idx="2">
                  <c:v>13152557.809664004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5-4137-8CBB-D4E3BC91D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74194"/>
        <c:axId val="55290562"/>
      </c:barChart>
      <c:catAx>
        <c:axId val="97774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5290562"/>
        <c:crosses val="autoZero"/>
        <c:auto val="1"/>
        <c:lblAlgn val="ctr"/>
        <c:lblOffset val="100"/>
        <c:noMultiLvlLbl val="0"/>
      </c:catAx>
      <c:valAx>
        <c:axId val="5529056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Revenue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7774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Projected Net Income (FY2026–2028)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Mondelez</c:v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Projections'!$B$18:$D$18</c:f>
              <c:numCache>
                <c:formatCode>#,##0</c:formatCode>
                <c:ptCount val="3"/>
                <c:pt idx="0">
                  <c:v>4208240.3999999994</c:v>
                </c:pt>
                <c:pt idx="1">
                  <c:v>4418652.42</c:v>
                </c:pt>
                <c:pt idx="2">
                  <c:v>4639585.0410000002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D-4430-AA03-05A714C4C1C5}"/>
            </c:ext>
          </c:extLst>
        </c:ser>
        <c:ser>
          <c:idx val="1"/>
          <c:order val="1"/>
          <c:tx>
            <c:v>PepsiCo</c:v>
          </c:tx>
          <c:spPr>
            <a:solidFill>
              <a:srgbClr val="37562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Projections'!$F$18:$H$18</c:f>
              <c:numCache>
                <c:formatCode>#,##0</c:formatCode>
                <c:ptCount val="3"/>
                <c:pt idx="0">
                  <c:v>9577532.25</c:v>
                </c:pt>
                <c:pt idx="1">
                  <c:v>9864858.2175000012</c:v>
                </c:pt>
                <c:pt idx="2">
                  <c:v>10160803.964025002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D-4430-AA03-05A714C4C1C5}"/>
            </c:ext>
          </c:extLst>
        </c:ser>
        <c:ser>
          <c:idx val="2"/>
          <c:order val="2"/>
          <c:tx>
            <c:v>Hershey</c:v>
          </c:tx>
          <c:spPr>
            <a:solidFill>
              <a:srgbClr val="7030A0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'Financial Projections'!$J$18:$L$18</c:f>
              <c:numCache>
                <c:formatCode>#,##0</c:formatCode>
                <c:ptCount val="3"/>
                <c:pt idx="0">
                  <c:v>1824041.8560000001</c:v>
                </c:pt>
                <c:pt idx="1">
                  <c:v>1897003.5302400002</c:v>
                </c:pt>
                <c:pt idx="2">
                  <c:v>1972883.6714496005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D-4430-AA03-05A714C4C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97327"/>
        <c:axId val="28511757"/>
      </c:barChart>
      <c:catAx>
        <c:axId val="4719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8511757"/>
        <c:crosses val="autoZero"/>
        <c:auto val="1"/>
        <c:lblAlgn val="ctr"/>
        <c:lblOffset val="100"/>
        <c:noMultiLvlLbl val="0"/>
      </c:catAx>
      <c:valAx>
        <c:axId val="2851175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Net Income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7197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</xdr:rowOff>
    </xdr:from>
    <xdr:to>
      <xdr:col>3</xdr:col>
      <xdr:colOff>853966</xdr:colOff>
      <xdr:row>44</xdr:row>
      <xdr:rowOff>131381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867103</xdr:colOff>
      <xdr:row>25</xdr:row>
      <xdr:rowOff>157656</xdr:rowOff>
    </xdr:from>
    <xdr:to>
      <xdr:col>10</xdr:col>
      <xdr:colOff>433551</xdr:colOff>
      <xdr:row>44</xdr:row>
      <xdr:rowOff>144518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124023</xdr:rowOff>
    </xdr:from>
    <xdr:to>
      <xdr:col>3</xdr:col>
      <xdr:colOff>316362</xdr:colOff>
      <xdr:row>66</xdr:row>
      <xdr:rowOff>144518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664517</xdr:colOff>
      <xdr:row>44</xdr:row>
      <xdr:rowOff>127964</xdr:rowOff>
    </xdr:from>
    <xdr:to>
      <xdr:col>10</xdr:col>
      <xdr:colOff>564931</xdr:colOff>
      <xdr:row>66</xdr:row>
      <xdr:rowOff>105104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24190</xdr:colOff>
      <xdr:row>55</xdr:row>
      <xdr:rowOff>36286</xdr:rowOff>
    </xdr:from>
    <xdr:to>
      <xdr:col>8</xdr:col>
      <xdr:colOff>25510</xdr:colOff>
      <xdr:row>83</xdr:row>
      <xdr:rowOff>8217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74990</xdr:colOff>
      <xdr:row>85</xdr:row>
      <xdr:rowOff>160020</xdr:rowOff>
    </xdr:from>
    <xdr:to>
      <xdr:col>18</xdr:col>
      <xdr:colOff>98144</xdr:colOff>
      <xdr:row>113</xdr:row>
      <xdr:rowOff>130500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266096</xdr:colOff>
      <xdr:row>86</xdr:row>
      <xdr:rowOff>12095</xdr:rowOff>
    </xdr:from>
    <xdr:to>
      <xdr:col>8</xdr:col>
      <xdr:colOff>267416</xdr:colOff>
      <xdr:row>113</xdr:row>
      <xdr:rowOff>165456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592667</xdr:colOff>
      <xdr:row>54</xdr:row>
      <xdr:rowOff>157238</xdr:rowOff>
    </xdr:from>
    <xdr:to>
      <xdr:col>17</xdr:col>
      <xdr:colOff>598524</xdr:colOff>
      <xdr:row>82</xdr:row>
      <xdr:rowOff>129170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4</xdr:col>
      <xdr:colOff>265320</xdr:colOff>
      <xdr:row>54</xdr:row>
      <xdr:rowOff>155160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14</xdr:col>
      <xdr:colOff>81360</xdr:colOff>
      <xdr:row>54</xdr:row>
      <xdr:rowOff>155160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zoomScale="58" zoomScaleNormal="100" workbookViewId="0">
      <selection activeCell="D16" sqref="D16"/>
    </sheetView>
  </sheetViews>
  <sheetFormatPr defaultColWidth="8.5546875" defaultRowHeight="14.4" x14ac:dyDescent="0.3"/>
  <cols>
    <col min="1" max="1" width="34" style="19" customWidth="1"/>
    <col min="2" max="5" width="20" style="19" customWidth="1"/>
    <col min="6" max="16384" width="8.5546875" style="19"/>
  </cols>
  <sheetData>
    <row r="1" spans="1:5" ht="36" customHeight="1" x14ac:dyDescent="0.3">
      <c r="A1" s="42" t="s">
        <v>0</v>
      </c>
      <c r="B1" s="42"/>
      <c r="C1" s="42"/>
      <c r="D1" s="42"/>
      <c r="E1" s="42"/>
    </row>
    <row r="2" spans="1:5" ht="19.5" customHeight="1" x14ac:dyDescent="0.3">
      <c r="A2" s="43" t="s">
        <v>1</v>
      </c>
      <c r="B2" s="43"/>
      <c r="C2" s="43"/>
      <c r="D2" s="43"/>
      <c r="E2" s="43"/>
    </row>
    <row r="4" spans="1:5" ht="19.5" customHeight="1" x14ac:dyDescent="0.3">
      <c r="A4" s="43" t="s">
        <v>2</v>
      </c>
      <c r="B4" s="43"/>
      <c r="C4" s="43"/>
      <c r="D4" s="43"/>
      <c r="E4" s="43"/>
    </row>
    <row r="5" spans="1:5" ht="18" customHeight="1" x14ac:dyDescent="0.3">
      <c r="A5" s="34" t="s">
        <v>3</v>
      </c>
      <c r="B5" s="34" t="s">
        <v>4</v>
      </c>
      <c r="C5" s="34" t="s">
        <v>5</v>
      </c>
      <c r="D5" s="34" t="s">
        <v>6</v>
      </c>
      <c r="E5" s="34"/>
    </row>
    <row r="6" spans="1:5" ht="16.5" customHeight="1" x14ac:dyDescent="0.3">
      <c r="A6" s="35" t="s">
        <v>313</v>
      </c>
      <c r="B6" s="40">
        <f>Mondelez!E3</f>
        <v>38537000</v>
      </c>
      <c r="C6" s="40">
        <f>Pepsico!E3</f>
        <v>93925000</v>
      </c>
      <c r="D6" s="40">
        <f>Hershey!E3</f>
        <v>11692576</v>
      </c>
      <c r="E6" s="35"/>
    </row>
    <row r="7" spans="1:5" ht="16.5" customHeight="1" x14ac:dyDescent="0.3">
      <c r="A7" s="35" t="s">
        <v>314</v>
      </c>
      <c r="B7" s="40">
        <f>Mondelez!E6</f>
        <v>10935000</v>
      </c>
      <c r="C7" s="40">
        <f>Pepsico!E6</f>
        <v>50859000</v>
      </c>
      <c r="D7" s="40">
        <f>Hershey!E6</f>
        <v>3922691</v>
      </c>
      <c r="E7" s="35"/>
    </row>
    <row r="8" spans="1:5" ht="16.5" customHeight="1" x14ac:dyDescent="0.3">
      <c r="A8" s="35" t="s">
        <v>315</v>
      </c>
      <c r="B8" s="40">
        <f>Mondelez!E13</f>
        <v>3620000</v>
      </c>
      <c r="C8" s="40">
        <f>Pepsico!E9</f>
        <v>13491000</v>
      </c>
      <c r="D8" s="40">
        <f>Hershey!E12</f>
        <v>1462122</v>
      </c>
      <c r="E8" s="35"/>
    </row>
    <row r="9" spans="1:5" ht="16.5" customHeight="1" x14ac:dyDescent="0.3">
      <c r="A9" s="35" t="s">
        <v>316</v>
      </c>
      <c r="B9" s="40">
        <f>Mondelez!E29</f>
        <v>2451000</v>
      </c>
      <c r="C9" s="40">
        <f>Pepsico!E20</f>
        <v>8240000</v>
      </c>
      <c r="D9" s="40">
        <f>Hershey!E25</f>
        <v>883259</v>
      </c>
      <c r="E9" s="35"/>
    </row>
    <row r="10" spans="1:5" ht="16.5" customHeight="1" x14ac:dyDescent="0.3">
      <c r="A10" s="35" t="s">
        <v>297</v>
      </c>
      <c r="B10" s="40">
        <f>Mondelez!E45</f>
        <v>4971000</v>
      </c>
      <c r="C10" s="40">
        <f>Pepsico!E36</f>
        <v>15543000</v>
      </c>
      <c r="D10" s="40">
        <f>Hershey!E42</f>
        <v>1942715</v>
      </c>
      <c r="E10" s="35"/>
    </row>
    <row r="11" spans="1:5" ht="16.5" customHeight="1" x14ac:dyDescent="0.3">
      <c r="A11" s="35" t="s">
        <v>317</v>
      </c>
      <c r="B11" s="40">
        <f>Mondelez!O3</f>
        <v>71487000</v>
      </c>
      <c r="C11" s="40">
        <f>Pepsico!O3</f>
        <v>107399000</v>
      </c>
      <c r="D11" s="40">
        <f>Hershey!O3</f>
        <v>13741297</v>
      </c>
      <c r="E11" s="35"/>
    </row>
    <row r="12" spans="1:5" ht="16.5" customHeight="1" x14ac:dyDescent="0.3">
      <c r="A12" s="35" t="s">
        <v>318</v>
      </c>
      <c r="B12" s="40">
        <f>Mondelez!O53</f>
        <v>25891000</v>
      </c>
      <c r="C12" s="40">
        <f>Pepsico!O56</f>
        <v>20547000</v>
      </c>
      <c r="D12" s="40">
        <f>Hershey!O53</f>
        <v>4636750</v>
      </c>
      <c r="E12" s="35"/>
    </row>
    <row r="14" spans="1:5" ht="19.5" customHeight="1" x14ac:dyDescent="0.3">
      <c r="A14" s="43" t="s">
        <v>8</v>
      </c>
      <c r="B14" s="43"/>
      <c r="C14" s="43"/>
      <c r="D14" s="43"/>
      <c r="E14" s="43"/>
    </row>
    <row r="15" spans="1:5" ht="18" customHeight="1" x14ac:dyDescent="0.3">
      <c r="A15" s="34" t="s">
        <v>3</v>
      </c>
      <c r="B15" s="34" t="s">
        <v>4</v>
      </c>
      <c r="C15" s="34" t="s">
        <v>5</v>
      </c>
      <c r="D15" s="34" t="s">
        <v>6</v>
      </c>
      <c r="E15" s="34" t="s">
        <v>7</v>
      </c>
    </row>
    <row r="16" spans="1:5" ht="16.5" customHeight="1" x14ac:dyDescent="0.3">
      <c r="A16" s="35" t="s">
        <v>9</v>
      </c>
      <c r="B16" s="36">
        <f>Mondelez!E6/Mondelez!E3</f>
        <v>0.28375327607234607</v>
      </c>
      <c r="C16" s="36">
        <f>Pepsico!E6/Pepsico!E3</f>
        <v>0.54148522757519302</v>
      </c>
      <c r="D16" s="36">
        <f>Hershey!E6/Hershey!E3</f>
        <v>0.33548561069861765</v>
      </c>
      <c r="E16" s="35" t="s">
        <v>10</v>
      </c>
    </row>
    <row r="17" spans="1:5" ht="16.5" customHeight="1" x14ac:dyDescent="0.3">
      <c r="A17" s="35" t="s">
        <v>11</v>
      </c>
      <c r="B17" s="36">
        <f>Mondelez!E13/Mondelez!E3</f>
        <v>9.3935698160209663E-2</v>
      </c>
      <c r="C17" s="36">
        <f>Pepsico!E9/Pepsico!E3</f>
        <v>0.143635879691243</v>
      </c>
      <c r="D17" s="36">
        <f>Hershey!E12/Hershey!E3</f>
        <v>0.12504703839427686</v>
      </c>
      <c r="E17" s="35" t="s">
        <v>10</v>
      </c>
    </row>
    <row r="18" spans="1:5" ht="16.5" customHeight="1" x14ac:dyDescent="0.3">
      <c r="A18" s="35" t="s">
        <v>12</v>
      </c>
      <c r="B18" s="36">
        <f>Mondelez!E29/Mondelez!E3</f>
        <v>6.3601214417313229E-2</v>
      </c>
      <c r="C18" s="36">
        <f>Pepsico!E20/Pepsico!E3</f>
        <v>8.7729571466595685E-2</v>
      </c>
      <c r="D18" s="36">
        <f>Hershey!E25/Hershey!E3</f>
        <v>7.5540154710134019E-2</v>
      </c>
      <c r="E18" s="35" t="s">
        <v>10</v>
      </c>
    </row>
    <row r="19" spans="1:5" ht="16.5" customHeight="1" x14ac:dyDescent="0.3">
      <c r="A19" s="35" t="s">
        <v>13</v>
      </c>
      <c r="B19" s="36">
        <f>Mondelez!E45/Mondelez!E3</f>
        <v>0.12899291589900616</v>
      </c>
      <c r="C19" s="36">
        <f>Pepsico!E36/Pepsico!E3</f>
        <v>0.16548309821666224</v>
      </c>
      <c r="D19" s="36">
        <f>Hershey!E42/Hershey!E3</f>
        <v>0.16614944388644556</v>
      </c>
      <c r="E19" s="35" t="s">
        <v>10</v>
      </c>
    </row>
    <row r="21" spans="1:5" ht="19.5" customHeight="1" x14ac:dyDescent="0.3">
      <c r="A21" s="43" t="s">
        <v>14</v>
      </c>
      <c r="B21" s="43"/>
      <c r="C21" s="43"/>
      <c r="D21" s="43"/>
      <c r="E21" s="43"/>
    </row>
    <row r="22" spans="1:5" x14ac:dyDescent="0.3">
      <c r="A22" s="34" t="s">
        <v>15</v>
      </c>
      <c r="B22" s="34" t="s">
        <v>16</v>
      </c>
      <c r="C22" s="34" t="s">
        <v>17</v>
      </c>
      <c r="D22" s="34" t="s">
        <v>18</v>
      </c>
      <c r="E22" s="34" t="s">
        <v>19</v>
      </c>
    </row>
    <row r="23" spans="1:5" ht="16.5" customHeight="1" x14ac:dyDescent="0.3">
      <c r="A23" s="39" t="s">
        <v>4</v>
      </c>
      <c r="B23" s="40">
        <f>'Financial Projections'!B14</f>
        <v>40463850</v>
      </c>
      <c r="C23" s="40">
        <f>'Financial Projections'!C14</f>
        <v>42487042.5</v>
      </c>
      <c r="D23" s="40">
        <f>'Financial Projections'!D14</f>
        <v>44611394.625</v>
      </c>
      <c r="E23" s="35" t="s">
        <v>20</v>
      </c>
    </row>
    <row r="24" spans="1:5" ht="16.5" customHeight="1" x14ac:dyDescent="0.3">
      <c r="A24" s="39" t="s">
        <v>5</v>
      </c>
      <c r="B24" s="40">
        <f>'Financial Projections'!F14</f>
        <v>96742750</v>
      </c>
      <c r="C24" s="40">
        <f>'Financial Projections'!G14</f>
        <v>99645032.5</v>
      </c>
      <c r="D24" s="40">
        <f>'Financial Projections'!H14</f>
        <v>102634383.47500001</v>
      </c>
      <c r="E24" s="35" t="s">
        <v>21</v>
      </c>
    </row>
    <row r="25" spans="1:5" ht="16.5" customHeight="1" x14ac:dyDescent="0.3">
      <c r="A25" s="39" t="s">
        <v>6</v>
      </c>
      <c r="B25" s="40">
        <f>'Financial Projections'!J14</f>
        <v>12160279.040000001</v>
      </c>
      <c r="C25" s="40">
        <f>'Financial Projections'!K14</f>
        <v>12646690.201600002</v>
      </c>
      <c r="D25" s="40">
        <f>'Financial Projections'!L14</f>
        <v>13152557.809664004</v>
      </c>
      <c r="E25" s="35" t="s">
        <v>22</v>
      </c>
    </row>
    <row r="70" spans="1:4" x14ac:dyDescent="0.3">
      <c r="B70" s="19" t="s">
        <v>9</v>
      </c>
      <c r="C70" s="19" t="s">
        <v>11</v>
      </c>
      <c r="D70" s="19" t="s">
        <v>23</v>
      </c>
    </row>
    <row r="71" spans="1:4" x14ac:dyDescent="0.3">
      <c r="A71" s="19" t="s">
        <v>4</v>
      </c>
      <c r="B71" s="41">
        <f>Mondelez!E6/Mondelez!E3</f>
        <v>0.28375327607234607</v>
      </c>
      <c r="C71" s="41">
        <f>Mondelez!E13/Mondelez!E3</f>
        <v>9.3935698160209663E-2</v>
      </c>
      <c r="D71" s="41">
        <f>Mondelez!E29/Mondelez!E3</f>
        <v>6.3601214417313229E-2</v>
      </c>
    </row>
    <row r="72" spans="1:4" x14ac:dyDescent="0.3">
      <c r="A72" s="19" t="s">
        <v>5</v>
      </c>
      <c r="B72" s="41">
        <f>Pepsico!E6/Pepsico!E3</f>
        <v>0.54148522757519302</v>
      </c>
      <c r="C72" s="41">
        <f>Pepsico!E9/Pepsico!E3</f>
        <v>0.143635879691243</v>
      </c>
      <c r="D72" s="41">
        <f>Pepsico!E20/Pepsico!E3</f>
        <v>8.7729571466595685E-2</v>
      </c>
    </row>
    <row r="73" spans="1:4" x14ac:dyDescent="0.3">
      <c r="A73" s="19" t="s">
        <v>6</v>
      </c>
      <c r="B73" s="41">
        <f>Hershey!E6/Hershey!E3</f>
        <v>0.33548561069861765</v>
      </c>
      <c r="C73" s="41">
        <f>Hershey!E12/Hershey!E3</f>
        <v>0.12504703839427686</v>
      </c>
      <c r="D73" s="41">
        <f>Hershey!E25/Hershey!E3</f>
        <v>7.5540154710134019E-2</v>
      </c>
    </row>
  </sheetData>
  <mergeCells count="5">
    <mergeCell ref="A1:E1"/>
    <mergeCell ref="A2:E2"/>
    <mergeCell ref="A4:E4"/>
    <mergeCell ref="A14:E14"/>
    <mergeCell ref="A21:E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7"/>
  <sheetViews>
    <sheetView topLeftCell="B3" zoomScaleNormal="100" workbookViewId="0">
      <selection activeCell="B3" sqref="B3"/>
    </sheetView>
  </sheetViews>
  <sheetFormatPr defaultColWidth="8.5546875" defaultRowHeight="14.4" x14ac:dyDescent="0.3"/>
  <cols>
    <col min="1" max="1" width="48.88671875" customWidth="1"/>
    <col min="2" max="5" width="10.6640625" customWidth="1"/>
    <col min="11" max="11" width="40.88671875" customWidth="1"/>
    <col min="12" max="15" width="11.6640625" customWidth="1"/>
    <col min="21" max="21" width="38.77734375" customWidth="1"/>
    <col min="22" max="25" width="9.77734375" customWidth="1"/>
  </cols>
  <sheetData>
    <row r="1" spans="1:25" s="2" customFormat="1" x14ac:dyDescent="0.3">
      <c r="A1" s="44" t="s">
        <v>24</v>
      </c>
      <c r="B1" s="44"/>
      <c r="C1" s="44"/>
      <c r="D1" s="44"/>
      <c r="E1" s="44"/>
      <c r="K1" s="44" t="s">
        <v>25</v>
      </c>
      <c r="L1" s="44"/>
      <c r="M1" s="44"/>
      <c r="N1" s="44"/>
      <c r="O1" s="44"/>
      <c r="U1" s="44" t="s">
        <v>26</v>
      </c>
      <c r="V1" s="44"/>
      <c r="W1" s="44"/>
      <c r="X1" s="44"/>
      <c r="Y1" s="44"/>
    </row>
    <row r="2" spans="1:25" x14ac:dyDescent="0.3">
      <c r="A2" s="3" t="s">
        <v>27</v>
      </c>
      <c r="B2" s="3">
        <v>2022</v>
      </c>
      <c r="C2" s="3">
        <v>2023</v>
      </c>
      <c r="D2" s="3">
        <v>2024</v>
      </c>
      <c r="E2" s="3">
        <v>2025</v>
      </c>
      <c r="K2" s="3" t="s">
        <v>27</v>
      </c>
      <c r="L2" s="3">
        <v>2022</v>
      </c>
      <c r="M2" s="3">
        <v>2023</v>
      </c>
      <c r="N2" s="3">
        <v>2024</v>
      </c>
      <c r="O2" s="3">
        <v>2025</v>
      </c>
      <c r="U2" s="3" t="s">
        <v>27</v>
      </c>
      <c r="V2" s="3">
        <v>2022</v>
      </c>
      <c r="W2" s="3">
        <v>2023</v>
      </c>
      <c r="X2" s="3">
        <v>2024</v>
      </c>
      <c r="Y2" s="3">
        <v>2025</v>
      </c>
    </row>
    <row r="3" spans="1:25" x14ac:dyDescent="0.3">
      <c r="A3" s="4" t="s">
        <v>28</v>
      </c>
      <c r="B3" s="5">
        <v>31496000</v>
      </c>
      <c r="C3" s="5">
        <v>36016000</v>
      </c>
      <c r="D3" s="5">
        <v>36441000</v>
      </c>
      <c r="E3" s="5">
        <v>38537000</v>
      </c>
      <c r="K3" s="4" t="s">
        <v>29</v>
      </c>
      <c r="L3" s="5">
        <v>71161000</v>
      </c>
      <c r="M3" s="5">
        <v>71391000</v>
      </c>
      <c r="N3" s="5">
        <v>68497000</v>
      </c>
      <c r="O3" s="5">
        <v>71487000</v>
      </c>
      <c r="U3" s="4" t="s">
        <v>30</v>
      </c>
      <c r="V3" s="5">
        <v>3908000</v>
      </c>
      <c r="W3" s="5">
        <v>4714000</v>
      </c>
      <c r="X3" s="5">
        <v>4910000</v>
      </c>
      <c r="Y3" s="5">
        <v>4514000</v>
      </c>
    </row>
    <row r="4" spans="1:25" x14ac:dyDescent="0.3">
      <c r="A4" s="6" t="s">
        <v>31</v>
      </c>
      <c r="B4" s="7">
        <v>31496000</v>
      </c>
      <c r="C4" s="7">
        <v>36016000</v>
      </c>
      <c r="D4" s="7">
        <v>36441000</v>
      </c>
      <c r="E4" s="7">
        <v>38537000</v>
      </c>
      <c r="K4" s="4" t="s">
        <v>32</v>
      </c>
      <c r="L4" s="5">
        <v>10091000</v>
      </c>
      <c r="M4" s="5">
        <v>11703000</v>
      </c>
      <c r="N4" s="5">
        <v>13242000</v>
      </c>
      <c r="O4" s="5">
        <v>12951000</v>
      </c>
      <c r="U4" s="6" t="s">
        <v>33</v>
      </c>
      <c r="V4" s="7">
        <v>3908000</v>
      </c>
      <c r="W4" s="7">
        <v>4714000</v>
      </c>
      <c r="X4" s="7">
        <v>4910000</v>
      </c>
      <c r="Y4" s="7">
        <v>4514000</v>
      </c>
    </row>
    <row r="5" spans="1:25" x14ac:dyDescent="0.3">
      <c r="A5" s="6" t="s">
        <v>34</v>
      </c>
      <c r="B5" s="7">
        <v>20184000</v>
      </c>
      <c r="C5" s="7">
        <v>22252000</v>
      </c>
      <c r="D5" s="7">
        <v>22184000</v>
      </c>
      <c r="E5" s="7">
        <v>27602000</v>
      </c>
      <c r="K5" s="6" t="s">
        <v>35</v>
      </c>
      <c r="L5" s="7">
        <v>1923000</v>
      </c>
      <c r="M5" s="7">
        <v>1810000</v>
      </c>
      <c r="N5" s="7">
        <v>1351000</v>
      </c>
      <c r="O5" s="7">
        <v>2125000</v>
      </c>
      <c r="U5" s="6" t="s">
        <v>36</v>
      </c>
      <c r="V5" s="7">
        <v>2726000</v>
      </c>
      <c r="W5" s="7">
        <v>4968000</v>
      </c>
      <c r="X5" s="7">
        <v>4623000</v>
      </c>
      <c r="Y5" s="7">
        <v>2466000</v>
      </c>
    </row>
    <row r="6" spans="1:25" x14ac:dyDescent="0.3">
      <c r="A6" s="4" t="s">
        <v>37</v>
      </c>
      <c r="B6" s="5">
        <v>11312000</v>
      </c>
      <c r="C6" s="5">
        <v>13764000</v>
      </c>
      <c r="D6" s="5">
        <v>14257000</v>
      </c>
      <c r="E6" s="5">
        <v>10935000</v>
      </c>
      <c r="K6" s="6" t="s">
        <v>38</v>
      </c>
      <c r="L6" s="7">
        <v>1923000</v>
      </c>
      <c r="M6" s="7">
        <v>1810000</v>
      </c>
      <c r="N6" s="7">
        <v>1351000</v>
      </c>
      <c r="O6" s="7">
        <v>2125000</v>
      </c>
      <c r="U6" s="6" t="s">
        <v>39</v>
      </c>
      <c r="V6" s="7">
        <v>-25000</v>
      </c>
      <c r="W6" s="7">
        <v>-1497000</v>
      </c>
      <c r="X6" s="7">
        <v>-469000</v>
      </c>
      <c r="Y6" s="7">
        <v>1301000</v>
      </c>
    </row>
    <row r="7" spans="1:25" x14ac:dyDescent="0.3">
      <c r="A7" s="6" t="s">
        <v>40</v>
      </c>
      <c r="B7" s="7">
        <v>7516000</v>
      </c>
      <c r="C7" s="7">
        <v>8153000</v>
      </c>
      <c r="D7" s="7">
        <v>7592000</v>
      </c>
      <c r="E7" s="7">
        <v>7315000</v>
      </c>
      <c r="K7" s="6" t="s">
        <v>41</v>
      </c>
      <c r="L7" s="7">
        <v>3907000</v>
      </c>
      <c r="M7" s="7">
        <v>4512000</v>
      </c>
      <c r="N7" s="7">
        <v>4811000</v>
      </c>
      <c r="O7" s="7">
        <v>4858000</v>
      </c>
      <c r="U7" s="6" t="s">
        <v>42</v>
      </c>
      <c r="V7" s="6">
        <v>0</v>
      </c>
      <c r="W7" s="7">
        <v>-108000</v>
      </c>
      <c r="X7" s="7">
        <v>-4000</v>
      </c>
      <c r="Y7" s="7">
        <v>-13000</v>
      </c>
    </row>
    <row r="8" spans="1:25" x14ac:dyDescent="0.3">
      <c r="A8" s="6" t="s">
        <v>43</v>
      </c>
      <c r="B8" s="7">
        <v>7384000</v>
      </c>
      <c r="C8" s="7">
        <v>8002000</v>
      </c>
      <c r="D8" s="7">
        <v>7439000</v>
      </c>
      <c r="E8" s="7">
        <v>7173000</v>
      </c>
      <c r="K8" s="6" t="s">
        <v>44</v>
      </c>
      <c r="L8" s="7">
        <v>3088000</v>
      </c>
      <c r="M8" s="7">
        <v>3634000</v>
      </c>
      <c r="N8" s="7">
        <v>3874000</v>
      </c>
      <c r="O8" s="7">
        <v>3903000</v>
      </c>
      <c r="U8" s="6" t="s">
        <v>45</v>
      </c>
      <c r="V8" s="7">
        <v>338000</v>
      </c>
      <c r="W8" s="7">
        <v>-764000</v>
      </c>
      <c r="X8" s="7">
        <v>-627000</v>
      </c>
      <c r="Y8" s="7">
        <v>1379000</v>
      </c>
    </row>
    <row r="9" spans="1:25" x14ac:dyDescent="0.3">
      <c r="A9" s="6" t="s">
        <v>46</v>
      </c>
      <c r="B9" s="7">
        <v>132000</v>
      </c>
      <c r="C9" s="7">
        <v>151000</v>
      </c>
      <c r="D9" s="7">
        <v>153000</v>
      </c>
      <c r="E9" s="7">
        <v>142000</v>
      </c>
      <c r="K9" s="6" t="s">
        <v>47</v>
      </c>
      <c r="L9" s="7">
        <v>3133000</v>
      </c>
      <c r="M9" s="7">
        <v>3700000</v>
      </c>
      <c r="N9" s="7">
        <v>3911000</v>
      </c>
      <c r="O9" s="7">
        <v>3938000</v>
      </c>
      <c r="U9" s="6" t="s">
        <v>48</v>
      </c>
      <c r="V9" s="7">
        <v>-363000</v>
      </c>
      <c r="W9" s="7">
        <v>-625000</v>
      </c>
      <c r="X9" s="7">
        <v>162000</v>
      </c>
      <c r="Y9" s="7">
        <v>-65000</v>
      </c>
    </row>
    <row r="10" spans="1:25" x14ac:dyDescent="0.3">
      <c r="A10" s="6" t="s">
        <v>49</v>
      </c>
      <c r="B10" s="7">
        <v>132000</v>
      </c>
      <c r="C10" s="7">
        <v>151000</v>
      </c>
      <c r="D10" s="7">
        <v>153000</v>
      </c>
      <c r="E10" s="7">
        <v>142000</v>
      </c>
      <c r="K10" s="6" t="s">
        <v>50</v>
      </c>
      <c r="L10" s="7">
        <v>-45000</v>
      </c>
      <c r="M10" s="7">
        <v>-66000</v>
      </c>
      <c r="N10" s="7">
        <v>-37000</v>
      </c>
      <c r="O10" s="7">
        <v>-35000</v>
      </c>
      <c r="U10" s="6" t="s">
        <v>46</v>
      </c>
      <c r="V10" s="7">
        <v>1107000</v>
      </c>
      <c r="W10" s="7">
        <v>1215000</v>
      </c>
      <c r="X10" s="7">
        <v>1302000</v>
      </c>
      <c r="Y10" s="7">
        <v>1358000</v>
      </c>
    </row>
    <row r="11" spans="1:25" x14ac:dyDescent="0.3">
      <c r="A11" s="6" t="s">
        <v>51</v>
      </c>
      <c r="B11" s="7">
        <v>132000</v>
      </c>
      <c r="C11" s="7">
        <v>151000</v>
      </c>
      <c r="D11" s="7">
        <v>153000</v>
      </c>
      <c r="E11" s="7">
        <v>142000</v>
      </c>
      <c r="K11" s="6" t="s">
        <v>52</v>
      </c>
      <c r="L11" s="7">
        <v>819000</v>
      </c>
      <c r="M11" s="7">
        <v>878000</v>
      </c>
      <c r="N11" s="7">
        <v>937000</v>
      </c>
      <c r="O11" s="7">
        <v>955000</v>
      </c>
      <c r="U11" s="6" t="s">
        <v>49</v>
      </c>
      <c r="V11" s="7">
        <v>1107000</v>
      </c>
      <c r="W11" s="7">
        <v>1215000</v>
      </c>
      <c r="X11" s="7">
        <v>1302000</v>
      </c>
      <c r="Y11" s="7">
        <v>1358000</v>
      </c>
    </row>
    <row r="12" spans="1:25" x14ac:dyDescent="0.3">
      <c r="A12" s="6" t="s">
        <v>53</v>
      </c>
      <c r="B12" s="7">
        <v>132000</v>
      </c>
      <c r="C12" s="7">
        <v>151000</v>
      </c>
      <c r="D12" s="7">
        <v>153000</v>
      </c>
      <c r="E12" s="7">
        <v>142000</v>
      </c>
      <c r="K12" s="6" t="s">
        <v>54</v>
      </c>
      <c r="L12" s="7">
        <v>3381000</v>
      </c>
      <c r="M12" s="7">
        <v>3615000</v>
      </c>
      <c r="N12" s="7">
        <v>3827000</v>
      </c>
      <c r="O12" s="7">
        <v>4419000</v>
      </c>
      <c r="U12" s="6" t="s">
        <v>55</v>
      </c>
      <c r="V12" s="7">
        <v>-42000</v>
      </c>
      <c r="W12" s="7">
        <v>-37000</v>
      </c>
      <c r="X12" s="7">
        <v>257000</v>
      </c>
      <c r="Y12" s="7">
        <v>16000</v>
      </c>
    </row>
    <row r="13" spans="1:25" x14ac:dyDescent="0.3">
      <c r="A13" s="4" t="s">
        <v>56</v>
      </c>
      <c r="B13" s="5">
        <v>3796000</v>
      </c>
      <c r="C13" s="5">
        <v>5611000</v>
      </c>
      <c r="D13" s="5">
        <v>6665000</v>
      </c>
      <c r="E13" s="5">
        <v>3620000</v>
      </c>
      <c r="K13" s="6" t="s">
        <v>57</v>
      </c>
      <c r="L13" s="7">
        <v>1031000</v>
      </c>
      <c r="M13" s="7">
        <v>973000</v>
      </c>
      <c r="N13" s="7">
        <v>958000</v>
      </c>
      <c r="O13" s="7">
        <v>1015000</v>
      </c>
      <c r="U13" s="6" t="s">
        <v>58</v>
      </c>
      <c r="V13" s="7">
        <v>-42000</v>
      </c>
      <c r="W13" s="7">
        <v>-37000</v>
      </c>
      <c r="X13" s="7">
        <v>257000</v>
      </c>
      <c r="Y13" s="7">
        <v>16000</v>
      </c>
    </row>
    <row r="14" spans="1:25" x14ac:dyDescent="0.3">
      <c r="A14" s="6" t="s">
        <v>59</v>
      </c>
      <c r="B14" s="7">
        <v>3534000</v>
      </c>
      <c r="C14" s="7">
        <v>5502000</v>
      </c>
      <c r="D14" s="7">
        <v>6345000</v>
      </c>
      <c r="E14" s="7">
        <v>3548000</v>
      </c>
      <c r="K14" s="6" t="s">
        <v>60</v>
      </c>
      <c r="L14" s="7">
        <v>2501000</v>
      </c>
      <c r="M14" s="7">
        <v>2790000</v>
      </c>
      <c r="N14" s="7">
        <v>2869000</v>
      </c>
      <c r="O14" s="7">
        <v>3404000</v>
      </c>
      <c r="U14" s="6" t="s">
        <v>61</v>
      </c>
      <c r="V14" s="7">
        <v>233000</v>
      </c>
      <c r="W14" s="7">
        <v>128000</v>
      </c>
      <c r="X14" s="7">
        <v>267000</v>
      </c>
      <c r="Y14" s="7">
        <v>85000</v>
      </c>
    </row>
    <row r="15" spans="1:25" x14ac:dyDescent="0.3">
      <c r="A15" s="6" t="s">
        <v>62</v>
      </c>
      <c r="B15" s="7">
        <v>-294000</v>
      </c>
      <c r="C15" s="7">
        <v>-309000</v>
      </c>
      <c r="D15" s="7">
        <v>-180000</v>
      </c>
      <c r="E15" s="7">
        <v>-282000</v>
      </c>
      <c r="K15" s="6" t="s">
        <v>63</v>
      </c>
      <c r="L15" s="7">
        <v>-151000</v>
      </c>
      <c r="M15" s="7">
        <v>-148000</v>
      </c>
      <c r="N15" s="7">
        <v>-171000</v>
      </c>
      <c r="O15" s="6" t="s">
        <v>64</v>
      </c>
      <c r="U15" s="6" t="s">
        <v>65</v>
      </c>
      <c r="V15" s="7">
        <v>120000</v>
      </c>
      <c r="W15" s="7">
        <v>146000</v>
      </c>
      <c r="X15" s="7">
        <v>147000</v>
      </c>
      <c r="Y15" s="7">
        <v>114000</v>
      </c>
    </row>
    <row r="16" spans="1:25" x14ac:dyDescent="0.3">
      <c r="A16" s="6" t="s">
        <v>66</v>
      </c>
      <c r="B16" s="7">
        <v>134000</v>
      </c>
      <c r="C16" s="7">
        <v>241000</v>
      </c>
      <c r="D16" s="7">
        <v>328000</v>
      </c>
      <c r="E16" s="7">
        <v>317000</v>
      </c>
      <c r="K16" s="6" t="s">
        <v>67</v>
      </c>
      <c r="L16" s="7">
        <v>880000</v>
      </c>
      <c r="M16" s="7">
        <v>1766000</v>
      </c>
      <c r="N16" s="7">
        <v>3253000</v>
      </c>
      <c r="O16" s="7">
        <v>1549000</v>
      </c>
      <c r="U16" s="6" t="s">
        <v>68</v>
      </c>
      <c r="V16" s="7">
        <v>118000</v>
      </c>
      <c r="W16" s="7">
        <v>163000</v>
      </c>
      <c r="X16" s="7">
        <v>-363000</v>
      </c>
      <c r="Y16" s="7">
        <v>103000</v>
      </c>
    </row>
    <row r="17" spans="1:25" x14ac:dyDescent="0.3">
      <c r="A17" s="6" t="s">
        <v>69</v>
      </c>
      <c r="B17" s="7">
        <v>428000</v>
      </c>
      <c r="C17" s="7">
        <v>550000</v>
      </c>
      <c r="D17" s="7">
        <v>508000</v>
      </c>
      <c r="E17" s="7">
        <v>599000</v>
      </c>
      <c r="K17" s="4" t="s">
        <v>70</v>
      </c>
      <c r="L17" s="5">
        <v>61070000</v>
      </c>
      <c r="M17" s="5">
        <v>59688000</v>
      </c>
      <c r="N17" s="5">
        <v>55255000</v>
      </c>
      <c r="O17" s="5">
        <v>58536000</v>
      </c>
      <c r="U17" s="6" t="s">
        <v>71</v>
      </c>
      <c r="V17" s="7">
        <v>-513000</v>
      </c>
      <c r="W17" s="7">
        <v>-509000</v>
      </c>
      <c r="X17" s="7">
        <v>-969000</v>
      </c>
      <c r="Y17" s="7">
        <v>-974000</v>
      </c>
    </row>
    <row r="18" spans="1:25" x14ac:dyDescent="0.3">
      <c r="A18" s="6" t="s">
        <v>72</v>
      </c>
      <c r="B18" s="7">
        <v>-274000</v>
      </c>
      <c r="C18" s="7">
        <v>578000</v>
      </c>
      <c r="D18" s="7">
        <v>-224000</v>
      </c>
      <c r="E18" s="7">
        <v>-324000</v>
      </c>
      <c r="K18" s="4" t="s">
        <v>73</v>
      </c>
      <c r="L18" s="5">
        <v>9680000</v>
      </c>
      <c r="M18" s="5">
        <v>10377000</v>
      </c>
      <c r="N18" s="5">
        <v>10248000</v>
      </c>
      <c r="O18" s="5">
        <v>11398000</v>
      </c>
      <c r="U18" s="6" t="s">
        <v>74</v>
      </c>
      <c r="V18" s="7">
        <v>-719000</v>
      </c>
      <c r="W18" s="7">
        <v>-628000</v>
      </c>
      <c r="X18" s="7">
        <v>-519000</v>
      </c>
      <c r="Y18" s="7">
        <v>433000</v>
      </c>
    </row>
    <row r="19" spans="1:25" x14ac:dyDescent="0.3">
      <c r="A19" s="6" t="s">
        <v>75</v>
      </c>
      <c r="B19" s="6" t="s">
        <v>64</v>
      </c>
      <c r="C19" s="7">
        <v>606000</v>
      </c>
      <c r="D19" s="6" t="s">
        <v>64</v>
      </c>
      <c r="E19" s="6" t="s">
        <v>64</v>
      </c>
      <c r="K19" s="6" t="s">
        <v>76</v>
      </c>
      <c r="L19" s="7">
        <v>16891000</v>
      </c>
      <c r="M19" s="7">
        <v>18373000</v>
      </c>
      <c r="N19" s="7">
        <v>18383000</v>
      </c>
      <c r="O19" s="7">
        <v>20793000</v>
      </c>
      <c r="U19" s="6" t="s">
        <v>77</v>
      </c>
      <c r="V19" s="7">
        <v>-635000</v>
      </c>
      <c r="W19" s="7">
        <v>-193000</v>
      </c>
      <c r="X19" s="7">
        <v>-458000</v>
      </c>
      <c r="Y19" s="7">
        <v>-253000</v>
      </c>
    </row>
    <row r="20" spans="1:25" x14ac:dyDescent="0.3">
      <c r="A20" s="6" t="s">
        <v>78</v>
      </c>
      <c r="B20" s="7">
        <v>-391000</v>
      </c>
      <c r="C20" s="7">
        <v>-110000</v>
      </c>
      <c r="D20" s="7">
        <v>-320000</v>
      </c>
      <c r="E20" s="7">
        <v>-72000</v>
      </c>
      <c r="K20" s="6" t="s">
        <v>79</v>
      </c>
      <c r="L20" s="7">
        <v>378000</v>
      </c>
      <c r="M20" s="7">
        <v>384000</v>
      </c>
      <c r="N20" s="7">
        <v>373000</v>
      </c>
      <c r="O20" s="7">
        <v>404000</v>
      </c>
      <c r="U20" s="6" t="s">
        <v>80</v>
      </c>
      <c r="V20" s="7">
        <v>715000</v>
      </c>
      <c r="W20" s="7">
        <v>264000</v>
      </c>
      <c r="X20" s="7">
        <v>1682000</v>
      </c>
      <c r="Y20" s="7">
        <v>-145000</v>
      </c>
    </row>
    <row r="21" spans="1:25" x14ac:dyDescent="0.3">
      <c r="A21" s="6" t="s">
        <v>81</v>
      </c>
      <c r="B21" s="6">
        <v>0</v>
      </c>
      <c r="C21" s="7">
        <v>-108000</v>
      </c>
      <c r="D21" s="7">
        <v>-4000</v>
      </c>
      <c r="E21" s="7">
        <v>-13000</v>
      </c>
      <c r="K21" s="6" t="s">
        <v>82</v>
      </c>
      <c r="L21" s="7">
        <v>3250000</v>
      </c>
      <c r="M21" s="7">
        <v>3452000</v>
      </c>
      <c r="N21" s="7">
        <v>3453000</v>
      </c>
      <c r="O21" s="7">
        <v>3963000</v>
      </c>
      <c r="U21" s="6" t="s">
        <v>83</v>
      </c>
      <c r="V21" s="7">
        <v>715000</v>
      </c>
      <c r="W21" s="7">
        <v>264000</v>
      </c>
      <c r="X21" s="7">
        <v>1682000</v>
      </c>
      <c r="Y21" s="7">
        <v>-145000</v>
      </c>
    </row>
    <row r="22" spans="1:25" x14ac:dyDescent="0.3">
      <c r="A22" s="6" t="s">
        <v>84</v>
      </c>
      <c r="B22" s="7">
        <v>262000</v>
      </c>
      <c r="C22" s="7">
        <v>217000</v>
      </c>
      <c r="D22" s="7">
        <v>324000</v>
      </c>
      <c r="E22" s="7">
        <v>85000</v>
      </c>
      <c r="K22" s="6" t="s">
        <v>85</v>
      </c>
      <c r="L22" s="7">
        <v>11724000</v>
      </c>
      <c r="M22" s="7">
        <v>12736000</v>
      </c>
      <c r="N22" s="7">
        <v>12732000</v>
      </c>
      <c r="O22" s="7">
        <v>14610000</v>
      </c>
      <c r="U22" s="6" t="s">
        <v>86</v>
      </c>
      <c r="V22" s="7">
        <v>715000</v>
      </c>
      <c r="W22" s="7">
        <v>264000</v>
      </c>
      <c r="X22" s="7">
        <v>1682000</v>
      </c>
      <c r="Y22" s="7">
        <v>-145000</v>
      </c>
    </row>
    <row r="23" spans="1:25" x14ac:dyDescent="0.3">
      <c r="A23" s="6" t="s">
        <v>87</v>
      </c>
      <c r="B23" s="7">
        <v>129000</v>
      </c>
      <c r="C23" s="7">
        <v>1000</v>
      </c>
      <c r="D23" s="6" t="s">
        <v>64</v>
      </c>
      <c r="E23" s="6" t="s">
        <v>64</v>
      </c>
      <c r="K23" s="6" t="s">
        <v>88</v>
      </c>
      <c r="L23" s="7">
        <v>660000</v>
      </c>
      <c r="M23" s="7">
        <v>683000</v>
      </c>
      <c r="N23" s="7">
        <v>767000</v>
      </c>
      <c r="O23" s="7">
        <v>731000</v>
      </c>
      <c r="U23" s="6" t="s">
        <v>89</v>
      </c>
      <c r="V23" s="7">
        <v>-286000</v>
      </c>
      <c r="W23" s="7">
        <v>-120000</v>
      </c>
      <c r="X23" s="7">
        <v>-591000</v>
      </c>
      <c r="Y23" s="7">
        <v>-225000</v>
      </c>
    </row>
    <row r="24" spans="1:25" x14ac:dyDescent="0.3">
      <c r="A24" s="6" t="s">
        <v>90</v>
      </c>
      <c r="B24" s="7">
        <v>117000</v>
      </c>
      <c r="C24" s="7">
        <v>82000</v>
      </c>
      <c r="D24" s="7">
        <v>96000</v>
      </c>
      <c r="E24" s="7">
        <v>-252000</v>
      </c>
      <c r="K24" s="6" t="s">
        <v>91</v>
      </c>
      <c r="L24" s="7">
        <v>879000</v>
      </c>
      <c r="M24" s="7">
        <v>1118000</v>
      </c>
      <c r="N24" s="7">
        <v>1058000</v>
      </c>
      <c r="O24" s="7">
        <v>1085000</v>
      </c>
      <c r="U24" s="6" t="s">
        <v>92</v>
      </c>
      <c r="V24" s="7">
        <v>638000</v>
      </c>
      <c r="W24" s="7">
        <v>354000</v>
      </c>
      <c r="X24" s="7">
        <v>-932000</v>
      </c>
      <c r="Y24" s="7">
        <v>-1026000</v>
      </c>
    </row>
    <row r="25" spans="1:25" x14ac:dyDescent="0.3">
      <c r="A25" s="4" t="s">
        <v>93</v>
      </c>
      <c r="B25" s="5">
        <v>3228000</v>
      </c>
      <c r="C25" s="5">
        <v>5880000</v>
      </c>
      <c r="D25" s="5">
        <v>6261000</v>
      </c>
      <c r="E25" s="5">
        <v>3014000</v>
      </c>
      <c r="K25" s="6" t="s">
        <v>94</v>
      </c>
      <c r="L25" s="7">
        <v>-7211000</v>
      </c>
      <c r="M25" s="7">
        <v>-7996000</v>
      </c>
      <c r="N25" s="7">
        <v>-8135000</v>
      </c>
      <c r="O25" s="7">
        <v>-9395000</v>
      </c>
      <c r="U25" s="6" t="s">
        <v>95</v>
      </c>
      <c r="V25" s="7">
        <v>-226000</v>
      </c>
      <c r="W25" s="7">
        <v>-186000</v>
      </c>
      <c r="X25" s="7">
        <v>-151000</v>
      </c>
      <c r="Y25" s="7">
        <v>242000</v>
      </c>
    </row>
    <row r="26" spans="1:25" x14ac:dyDescent="0.3">
      <c r="A26" s="6" t="s">
        <v>96</v>
      </c>
      <c r="B26" s="7">
        <v>865000</v>
      </c>
      <c r="C26" s="7">
        <v>1537000</v>
      </c>
      <c r="D26" s="7">
        <v>1469000</v>
      </c>
      <c r="E26" s="7">
        <v>782000</v>
      </c>
      <c r="K26" s="4" t="s">
        <v>97</v>
      </c>
      <c r="L26" s="5">
        <v>43160000</v>
      </c>
      <c r="M26" s="5">
        <v>43732000</v>
      </c>
      <c r="N26" s="5">
        <v>41865000</v>
      </c>
      <c r="O26" s="5">
        <v>43964000</v>
      </c>
      <c r="U26" s="6" t="s">
        <v>98</v>
      </c>
      <c r="V26" s="7">
        <v>184000</v>
      </c>
      <c r="W26" s="7">
        <v>137000</v>
      </c>
      <c r="X26" s="7">
        <v>115000</v>
      </c>
      <c r="Y26" s="7">
        <v>45000</v>
      </c>
    </row>
    <row r="27" spans="1:25" x14ac:dyDescent="0.3">
      <c r="A27" s="6" t="s">
        <v>99</v>
      </c>
      <c r="B27" s="7">
        <v>363000</v>
      </c>
      <c r="C27" s="7">
        <v>625000</v>
      </c>
      <c r="D27" s="7">
        <v>-169000</v>
      </c>
      <c r="E27" s="7">
        <v>234000</v>
      </c>
      <c r="K27" s="6" t="s">
        <v>100</v>
      </c>
      <c r="L27" s="7">
        <v>23450000</v>
      </c>
      <c r="M27" s="7">
        <v>23896000</v>
      </c>
      <c r="N27" s="7">
        <v>23017000</v>
      </c>
      <c r="O27" s="7">
        <v>24336000</v>
      </c>
      <c r="U27" s="4" t="s">
        <v>101</v>
      </c>
      <c r="V27" s="5">
        <v>-4888000</v>
      </c>
      <c r="W27" s="5">
        <v>2812000</v>
      </c>
      <c r="X27" s="5">
        <v>526000</v>
      </c>
      <c r="Y27" s="5">
        <v>-1196000</v>
      </c>
    </row>
    <row r="28" spans="1:25" x14ac:dyDescent="0.3">
      <c r="A28" s="4" t="s">
        <v>102</v>
      </c>
      <c r="B28" s="5">
        <v>2717000</v>
      </c>
      <c r="C28" s="5">
        <v>4959000</v>
      </c>
      <c r="D28" s="5">
        <v>4611000</v>
      </c>
      <c r="E28" s="5">
        <v>2451000</v>
      </c>
      <c r="K28" s="6" t="s">
        <v>103</v>
      </c>
      <c r="L28" s="7">
        <v>19710000</v>
      </c>
      <c r="M28" s="7">
        <v>19836000</v>
      </c>
      <c r="N28" s="7">
        <v>18848000</v>
      </c>
      <c r="O28" s="7">
        <v>19628000</v>
      </c>
      <c r="U28" s="6" t="s">
        <v>104</v>
      </c>
      <c r="V28" s="7">
        <v>-4888000</v>
      </c>
      <c r="W28" s="7">
        <v>2812000</v>
      </c>
      <c r="X28" s="7">
        <v>526000</v>
      </c>
      <c r="Y28" s="7">
        <v>-1196000</v>
      </c>
    </row>
    <row r="29" spans="1:25" x14ac:dyDescent="0.3">
      <c r="A29" s="6" t="s">
        <v>105</v>
      </c>
      <c r="B29" s="7">
        <v>2717000</v>
      </c>
      <c r="C29" s="7">
        <v>4959000</v>
      </c>
      <c r="D29" s="7">
        <v>4611000</v>
      </c>
      <c r="E29" s="7">
        <v>2451000</v>
      </c>
      <c r="K29" s="6" t="s">
        <v>106</v>
      </c>
      <c r="L29" s="7">
        <v>4879000</v>
      </c>
      <c r="M29" s="7">
        <v>3242000</v>
      </c>
      <c r="N29" s="7">
        <v>635000</v>
      </c>
      <c r="O29" s="7">
        <v>667000</v>
      </c>
      <c r="U29" s="6" t="s">
        <v>107</v>
      </c>
      <c r="V29" s="7">
        <v>-906000</v>
      </c>
      <c r="W29" s="7">
        <v>-1112000</v>
      </c>
      <c r="X29" s="7">
        <v>-1387000</v>
      </c>
      <c r="Y29" s="7">
        <v>-1279000</v>
      </c>
    </row>
    <row r="30" spans="1:25" x14ac:dyDescent="0.3">
      <c r="A30" s="6" t="s">
        <v>108</v>
      </c>
      <c r="B30" s="7">
        <v>2726000</v>
      </c>
      <c r="C30" s="7">
        <v>4968000</v>
      </c>
      <c r="D30" s="7">
        <v>4623000</v>
      </c>
      <c r="E30" s="7">
        <v>2466000</v>
      </c>
      <c r="K30" s="6" t="s">
        <v>109</v>
      </c>
      <c r="L30" s="7">
        <v>4879000</v>
      </c>
      <c r="M30" s="7">
        <v>3242000</v>
      </c>
      <c r="N30" s="7">
        <v>635000</v>
      </c>
      <c r="O30" s="7">
        <v>667000</v>
      </c>
      <c r="U30" s="6" t="s">
        <v>110</v>
      </c>
      <c r="V30" s="7">
        <v>45000</v>
      </c>
      <c r="W30" s="7">
        <v>19000</v>
      </c>
      <c r="X30" s="7">
        <v>16000</v>
      </c>
      <c r="Y30" s="7">
        <v>9000</v>
      </c>
    </row>
    <row r="31" spans="1:25" x14ac:dyDescent="0.3">
      <c r="A31" s="6" t="s">
        <v>111</v>
      </c>
      <c r="B31" s="7">
        <v>2726000</v>
      </c>
      <c r="C31" s="7">
        <v>4968000</v>
      </c>
      <c r="D31" s="7">
        <v>4623000</v>
      </c>
      <c r="E31" s="7">
        <v>2466000</v>
      </c>
      <c r="K31" s="6" t="s">
        <v>112</v>
      </c>
      <c r="L31" s="7">
        <v>473000</v>
      </c>
      <c r="M31" s="7">
        <v>408000</v>
      </c>
      <c r="N31" s="7">
        <v>333000</v>
      </c>
      <c r="O31" s="7">
        <v>336000</v>
      </c>
      <c r="U31" s="6" t="s">
        <v>113</v>
      </c>
      <c r="V31" s="7">
        <v>45000</v>
      </c>
      <c r="W31" s="7">
        <v>19000</v>
      </c>
      <c r="X31" s="7">
        <v>16000</v>
      </c>
      <c r="Y31" s="7">
        <v>9000</v>
      </c>
    </row>
    <row r="32" spans="1:25" x14ac:dyDescent="0.3">
      <c r="A32" s="6" t="s">
        <v>114</v>
      </c>
      <c r="B32" s="7">
        <v>-9000</v>
      </c>
      <c r="C32" s="7">
        <v>-9000</v>
      </c>
      <c r="D32" s="7">
        <v>-12000</v>
      </c>
      <c r="E32" s="7">
        <v>-15000</v>
      </c>
      <c r="K32" s="6" t="s">
        <v>115</v>
      </c>
      <c r="L32" s="7">
        <v>473000</v>
      </c>
      <c r="M32" s="7">
        <v>408000</v>
      </c>
      <c r="N32" s="7">
        <v>333000</v>
      </c>
      <c r="O32" s="7">
        <v>336000</v>
      </c>
      <c r="U32" s="6" t="s">
        <v>116</v>
      </c>
      <c r="V32" s="7">
        <v>-4685000</v>
      </c>
      <c r="W32" s="7">
        <v>4118000</v>
      </c>
      <c r="X32" s="7">
        <v>2054000</v>
      </c>
      <c r="Y32" s="7">
        <v>112000</v>
      </c>
    </row>
    <row r="33" spans="1:25" x14ac:dyDescent="0.3">
      <c r="A33" s="6" t="s">
        <v>117</v>
      </c>
      <c r="B33" s="7">
        <v>2717000</v>
      </c>
      <c r="C33" s="7">
        <v>4959000</v>
      </c>
      <c r="D33" s="7">
        <v>4611000</v>
      </c>
      <c r="E33" s="7">
        <v>2451000</v>
      </c>
      <c r="K33" s="6" t="s">
        <v>118</v>
      </c>
      <c r="L33" s="7">
        <v>1016000</v>
      </c>
      <c r="M33" s="7">
        <v>1043000</v>
      </c>
      <c r="N33" s="6" t="s">
        <v>64</v>
      </c>
      <c r="O33" s="6" t="s">
        <v>64</v>
      </c>
      <c r="U33" s="6" t="s">
        <v>119</v>
      </c>
      <c r="V33" s="7">
        <v>-5286000</v>
      </c>
      <c r="W33" s="7">
        <v>-309000</v>
      </c>
      <c r="X33" s="7">
        <v>-240000</v>
      </c>
      <c r="Y33" s="7">
        <v>-15000</v>
      </c>
    </row>
    <row r="34" spans="1:25" x14ac:dyDescent="0.3">
      <c r="A34" s="4" t="s">
        <v>120</v>
      </c>
      <c r="B34" s="4">
        <v>1.97</v>
      </c>
      <c r="C34" s="4">
        <v>3.64</v>
      </c>
      <c r="D34" s="4">
        <v>3.44</v>
      </c>
      <c r="E34" s="4">
        <v>1.89</v>
      </c>
      <c r="K34" s="6" t="s">
        <v>121</v>
      </c>
      <c r="L34" s="7">
        <v>1016000</v>
      </c>
      <c r="M34" s="7">
        <v>1043000</v>
      </c>
      <c r="N34" s="7">
        <v>987000</v>
      </c>
      <c r="O34" s="7">
        <v>1220000</v>
      </c>
      <c r="U34" s="6" t="s">
        <v>122</v>
      </c>
      <c r="V34" s="7">
        <v>601000</v>
      </c>
      <c r="W34" s="7">
        <v>4118000</v>
      </c>
      <c r="X34" s="7">
        <v>2294000</v>
      </c>
      <c r="Y34" s="7">
        <v>127000</v>
      </c>
    </row>
    <row r="35" spans="1:25" x14ac:dyDescent="0.3">
      <c r="A35" s="6" t="s">
        <v>123</v>
      </c>
      <c r="B35" s="6">
        <v>1.96</v>
      </c>
      <c r="C35" s="6">
        <v>3.62</v>
      </c>
      <c r="D35" s="6">
        <v>3.42</v>
      </c>
      <c r="E35" s="6">
        <v>1.89</v>
      </c>
      <c r="K35" s="6" t="s">
        <v>124</v>
      </c>
      <c r="L35" s="7">
        <v>1862000</v>
      </c>
      <c r="M35" s="7">
        <v>886000</v>
      </c>
      <c r="N35" s="7">
        <v>1187000</v>
      </c>
      <c r="O35" s="7">
        <v>951000</v>
      </c>
      <c r="U35" s="6" t="s">
        <v>125</v>
      </c>
      <c r="V35" s="7">
        <v>658000</v>
      </c>
      <c r="W35" s="7">
        <v>-213000</v>
      </c>
      <c r="X35" s="7">
        <v>-157000</v>
      </c>
      <c r="Y35" s="7">
        <v>-38000</v>
      </c>
    </row>
    <row r="36" spans="1:25" x14ac:dyDescent="0.3">
      <c r="A36" s="6" t="s">
        <v>126</v>
      </c>
      <c r="B36" s="7">
        <v>1378000</v>
      </c>
      <c r="C36" s="7">
        <v>1363000</v>
      </c>
      <c r="D36" s="7">
        <v>1341000</v>
      </c>
      <c r="E36" s="7">
        <v>1294000</v>
      </c>
      <c r="K36" s="4" t="s">
        <v>127</v>
      </c>
      <c r="L36" s="5">
        <v>44241000</v>
      </c>
      <c r="M36" s="5">
        <v>43025000</v>
      </c>
      <c r="N36" s="5">
        <v>41539000</v>
      </c>
      <c r="O36" s="5">
        <v>45596000</v>
      </c>
      <c r="U36" s="6" t="s">
        <v>128</v>
      </c>
      <c r="V36" s="7">
        <v>-110000</v>
      </c>
      <c r="W36" s="7">
        <v>-390000</v>
      </c>
      <c r="X36" s="7">
        <v>-477000</v>
      </c>
      <c r="Y36" s="7">
        <v>-165000</v>
      </c>
    </row>
    <row r="37" spans="1:25" x14ac:dyDescent="0.3">
      <c r="A37" s="6" t="s">
        <v>129</v>
      </c>
      <c r="B37" s="7">
        <v>1385000</v>
      </c>
      <c r="C37" s="7">
        <v>1370000</v>
      </c>
      <c r="D37" s="7">
        <v>1347000</v>
      </c>
      <c r="E37" s="7">
        <v>1298000</v>
      </c>
      <c r="K37" s="4" t="s">
        <v>130</v>
      </c>
      <c r="L37" s="5">
        <v>16731000</v>
      </c>
      <c r="M37" s="5">
        <v>19013000</v>
      </c>
      <c r="N37" s="5">
        <v>19549000</v>
      </c>
      <c r="O37" s="5">
        <v>21864000</v>
      </c>
      <c r="U37" s="6" t="s">
        <v>131</v>
      </c>
      <c r="V37" s="7">
        <v>768000</v>
      </c>
      <c r="W37" s="7">
        <v>177000</v>
      </c>
      <c r="X37" s="7">
        <v>320000</v>
      </c>
      <c r="Y37" s="7">
        <v>127000</v>
      </c>
    </row>
    <row r="38" spans="1:25" x14ac:dyDescent="0.3">
      <c r="A38" s="4" t="s">
        <v>132</v>
      </c>
      <c r="B38" s="5">
        <v>27700000</v>
      </c>
      <c r="C38" s="5">
        <v>30405000</v>
      </c>
      <c r="D38" s="5">
        <v>29776000</v>
      </c>
      <c r="E38" s="5">
        <v>34917000</v>
      </c>
      <c r="K38" s="6" t="s">
        <v>133</v>
      </c>
      <c r="L38" s="7">
        <v>9932000</v>
      </c>
      <c r="M38" s="7">
        <v>11004000</v>
      </c>
      <c r="N38" s="7">
        <v>11991000</v>
      </c>
      <c r="O38" s="7">
        <v>12926000</v>
      </c>
      <c r="U38" s="4" t="s">
        <v>134</v>
      </c>
      <c r="V38" s="5">
        <v>-456000</v>
      </c>
      <c r="W38" s="5">
        <v>-7558000</v>
      </c>
      <c r="X38" s="5">
        <v>-5780000</v>
      </c>
      <c r="Y38" s="5">
        <v>-2759000</v>
      </c>
    </row>
    <row r="39" spans="1:25" x14ac:dyDescent="0.3">
      <c r="A39" s="6" t="s">
        <v>135</v>
      </c>
      <c r="B39" s="7">
        <v>2717000</v>
      </c>
      <c r="C39" s="7">
        <v>4959000</v>
      </c>
      <c r="D39" s="7">
        <v>4611000</v>
      </c>
      <c r="E39" s="7">
        <v>2451000</v>
      </c>
      <c r="K39" s="6" t="s">
        <v>136</v>
      </c>
      <c r="L39" s="7">
        <v>7562000</v>
      </c>
      <c r="M39" s="7">
        <v>8321000</v>
      </c>
      <c r="N39" s="7">
        <v>9433000</v>
      </c>
      <c r="O39" s="7">
        <v>10139000</v>
      </c>
      <c r="U39" s="6" t="s">
        <v>137</v>
      </c>
      <c r="V39" s="7">
        <v>-456000</v>
      </c>
      <c r="W39" s="7">
        <v>-7558000</v>
      </c>
      <c r="X39" s="7">
        <v>-5780000</v>
      </c>
      <c r="Y39" s="7">
        <v>-2759000</v>
      </c>
    </row>
    <row r="40" spans="1:25" x14ac:dyDescent="0.3">
      <c r="A40" s="6" t="s">
        <v>138</v>
      </c>
      <c r="B40" s="7">
        <v>3003212</v>
      </c>
      <c r="C40" s="7">
        <v>4592456</v>
      </c>
      <c r="D40" s="7">
        <v>4855919</v>
      </c>
      <c r="E40" s="7">
        <v>2504319</v>
      </c>
      <c r="K40" s="6" t="s">
        <v>139</v>
      </c>
      <c r="L40" s="7">
        <v>2370000</v>
      </c>
      <c r="M40" s="7">
        <v>2683000</v>
      </c>
      <c r="N40" s="7">
        <v>2558000</v>
      </c>
      <c r="O40" s="7">
        <v>2787000</v>
      </c>
      <c r="U40" s="6" t="s">
        <v>140</v>
      </c>
      <c r="V40" s="7">
        <v>3372000</v>
      </c>
      <c r="W40" s="7">
        <v>-4024000</v>
      </c>
      <c r="X40" s="7">
        <v>-1226000</v>
      </c>
      <c r="Y40" s="7">
        <v>2126000</v>
      </c>
    </row>
    <row r="41" spans="1:25" x14ac:dyDescent="0.3">
      <c r="A41" s="6" t="s">
        <v>141</v>
      </c>
      <c r="B41" s="7">
        <v>134000</v>
      </c>
      <c r="C41" s="7">
        <v>241000</v>
      </c>
      <c r="D41" s="7">
        <v>328000</v>
      </c>
      <c r="E41" s="7">
        <v>317000</v>
      </c>
      <c r="K41" s="6" t="s">
        <v>142</v>
      </c>
      <c r="L41" s="7">
        <v>949000</v>
      </c>
      <c r="M41" s="7">
        <v>1158000</v>
      </c>
      <c r="N41" s="7">
        <v>928000</v>
      </c>
      <c r="O41" s="7">
        <v>1000000</v>
      </c>
      <c r="U41" s="6" t="s">
        <v>143</v>
      </c>
      <c r="V41" s="7">
        <v>1458000</v>
      </c>
      <c r="W41" s="7">
        <v>-2155000</v>
      </c>
      <c r="X41" s="7">
        <v>-883000</v>
      </c>
      <c r="Y41" s="7">
        <v>-483000</v>
      </c>
    </row>
    <row r="42" spans="1:25" x14ac:dyDescent="0.3">
      <c r="A42" s="6" t="s">
        <v>144</v>
      </c>
      <c r="B42" s="7">
        <v>428000</v>
      </c>
      <c r="C42" s="7">
        <v>550000</v>
      </c>
      <c r="D42" s="7">
        <v>508000</v>
      </c>
      <c r="E42" s="7">
        <v>599000</v>
      </c>
      <c r="K42" s="6" t="s">
        <v>145</v>
      </c>
      <c r="L42" s="7">
        <v>2682000</v>
      </c>
      <c r="M42" s="7">
        <v>2521000</v>
      </c>
      <c r="N42" s="7">
        <v>2085000</v>
      </c>
      <c r="O42" s="7">
        <v>3983000</v>
      </c>
      <c r="U42" s="6" t="s">
        <v>146</v>
      </c>
      <c r="V42" s="7">
        <v>4490000</v>
      </c>
      <c r="W42" s="7">
        <v>277000</v>
      </c>
      <c r="X42" s="7">
        <v>1671000</v>
      </c>
      <c r="Y42" s="7">
        <v>1594000</v>
      </c>
    </row>
    <row r="43" spans="1:25" x14ac:dyDescent="0.3">
      <c r="A43" s="6" t="s">
        <v>147</v>
      </c>
      <c r="B43" s="7">
        <v>-294000</v>
      </c>
      <c r="C43" s="7">
        <v>-309000</v>
      </c>
      <c r="D43" s="7">
        <v>-180000</v>
      </c>
      <c r="E43" s="7">
        <v>-282000</v>
      </c>
      <c r="K43" s="6" t="s">
        <v>148</v>
      </c>
      <c r="L43" s="7">
        <v>2209000</v>
      </c>
      <c r="M43" s="7">
        <v>346000</v>
      </c>
      <c r="N43" s="6">
        <v>0</v>
      </c>
      <c r="O43" s="7">
        <v>2614000</v>
      </c>
      <c r="U43" s="6" t="s">
        <v>149</v>
      </c>
      <c r="V43" s="7">
        <v>-3032000</v>
      </c>
      <c r="W43" s="7">
        <v>-2432000</v>
      </c>
      <c r="X43" s="7">
        <v>-2554000</v>
      </c>
      <c r="Y43" s="7">
        <v>-2077000</v>
      </c>
    </row>
    <row r="44" spans="1:25" x14ac:dyDescent="0.3">
      <c r="A44" s="4" t="s">
        <v>150</v>
      </c>
      <c r="B44" s="5">
        <v>3656000</v>
      </c>
      <c r="C44" s="5">
        <v>6430000</v>
      </c>
      <c r="D44" s="5">
        <v>6769000</v>
      </c>
      <c r="E44" s="5">
        <v>3613000</v>
      </c>
      <c r="K44" s="6" t="s">
        <v>151</v>
      </c>
      <c r="L44" s="7">
        <v>90000</v>
      </c>
      <c r="M44" s="7">
        <v>74000</v>
      </c>
      <c r="N44" s="7">
        <v>71000</v>
      </c>
      <c r="O44" s="7">
        <v>74000</v>
      </c>
      <c r="U44" s="6" t="s">
        <v>152</v>
      </c>
      <c r="V44" s="7">
        <v>1914000</v>
      </c>
      <c r="W44" s="7">
        <v>-1869000</v>
      </c>
      <c r="X44" s="7">
        <v>-343000</v>
      </c>
      <c r="Y44" s="7">
        <v>2609000</v>
      </c>
    </row>
    <row r="45" spans="1:25" x14ac:dyDescent="0.3">
      <c r="A45" s="4" t="s">
        <v>153</v>
      </c>
      <c r="B45" s="5">
        <v>4763000</v>
      </c>
      <c r="C45" s="5">
        <v>7645000</v>
      </c>
      <c r="D45" s="5">
        <v>8071000</v>
      </c>
      <c r="E45" s="5">
        <v>4971000</v>
      </c>
      <c r="K45" s="6" t="s">
        <v>154</v>
      </c>
      <c r="L45" s="7">
        <v>383000</v>
      </c>
      <c r="M45" s="7">
        <v>2101000</v>
      </c>
      <c r="N45" s="7">
        <v>2014000</v>
      </c>
      <c r="O45" s="7">
        <v>1295000</v>
      </c>
      <c r="U45" s="6" t="s">
        <v>155</v>
      </c>
      <c r="V45" s="7">
        <v>1914000</v>
      </c>
      <c r="W45" s="7">
        <v>67000</v>
      </c>
      <c r="X45" s="6">
        <v>0</v>
      </c>
      <c r="Y45" s="7">
        <v>2609000</v>
      </c>
    </row>
    <row r="46" spans="1:25" x14ac:dyDescent="0.3">
      <c r="A46" s="6" t="s">
        <v>156</v>
      </c>
      <c r="B46" s="7">
        <v>19209000</v>
      </c>
      <c r="C46" s="7">
        <v>21188000</v>
      </c>
      <c r="D46" s="7">
        <v>21035000</v>
      </c>
      <c r="E46" s="7">
        <v>26386000</v>
      </c>
      <c r="K46" s="6" t="s">
        <v>157</v>
      </c>
      <c r="L46" s="7">
        <v>3168000</v>
      </c>
      <c r="M46" s="7">
        <v>4330000</v>
      </c>
      <c r="N46" s="7">
        <v>4545000</v>
      </c>
      <c r="O46" s="7">
        <v>3955000</v>
      </c>
      <c r="U46" s="6" t="s">
        <v>158</v>
      </c>
      <c r="V46" s="6">
        <v>0</v>
      </c>
      <c r="W46" s="7">
        <v>-1936000</v>
      </c>
      <c r="X46" s="7">
        <v>-343000</v>
      </c>
      <c r="Y46" s="6">
        <v>0</v>
      </c>
    </row>
    <row r="47" spans="1:25" x14ac:dyDescent="0.3">
      <c r="A47" s="6" t="s">
        <v>159</v>
      </c>
      <c r="B47" s="7">
        <v>1107000</v>
      </c>
      <c r="C47" s="7">
        <v>1215000</v>
      </c>
      <c r="D47" s="7">
        <v>1302000</v>
      </c>
      <c r="E47" s="7">
        <v>1358000</v>
      </c>
      <c r="K47" s="4" t="s">
        <v>160</v>
      </c>
      <c r="L47" s="5">
        <v>27510000</v>
      </c>
      <c r="M47" s="5">
        <v>24012000</v>
      </c>
      <c r="N47" s="5">
        <v>21990000</v>
      </c>
      <c r="O47" s="5">
        <v>23732000</v>
      </c>
      <c r="U47" s="6" t="s">
        <v>161</v>
      </c>
      <c r="V47" s="7">
        <v>-2017000</v>
      </c>
      <c r="W47" s="7">
        <v>-1547000</v>
      </c>
      <c r="X47" s="7">
        <v>-2334000</v>
      </c>
      <c r="Y47" s="7">
        <v>-2385000</v>
      </c>
    </row>
    <row r="48" spans="1:25" x14ac:dyDescent="0.3">
      <c r="A48" s="6" t="s">
        <v>162</v>
      </c>
      <c r="B48" s="7">
        <v>2717000</v>
      </c>
      <c r="C48" s="7">
        <v>4959000</v>
      </c>
      <c r="D48" s="7">
        <v>4611000</v>
      </c>
      <c r="E48" s="7">
        <v>2451000</v>
      </c>
      <c r="K48" s="6" t="s">
        <v>163</v>
      </c>
      <c r="L48" s="7">
        <v>20251000</v>
      </c>
      <c r="M48" s="7">
        <v>16887000</v>
      </c>
      <c r="N48" s="7">
        <v>15664000</v>
      </c>
      <c r="O48" s="7">
        <v>17222000</v>
      </c>
      <c r="U48" s="6" t="s">
        <v>164</v>
      </c>
      <c r="V48" s="7">
        <v>-2017000</v>
      </c>
      <c r="W48" s="7">
        <v>-1547000</v>
      </c>
      <c r="X48" s="7">
        <v>-2334000</v>
      </c>
      <c r="Y48" s="7">
        <v>-2385000</v>
      </c>
    </row>
    <row r="49" spans="1:25" x14ac:dyDescent="0.3">
      <c r="A49" s="6" t="s">
        <v>165</v>
      </c>
      <c r="B49" s="7">
        <v>-391000</v>
      </c>
      <c r="C49" s="7">
        <v>496000</v>
      </c>
      <c r="D49" s="7">
        <v>-320000</v>
      </c>
      <c r="E49" s="7">
        <v>-72000</v>
      </c>
      <c r="K49" s="6" t="s">
        <v>166</v>
      </c>
      <c r="L49" s="7">
        <v>514000</v>
      </c>
      <c r="M49" s="7">
        <v>537000</v>
      </c>
      <c r="N49" s="7">
        <v>623000</v>
      </c>
      <c r="O49" s="7">
        <v>599000</v>
      </c>
      <c r="U49" s="6" t="s">
        <v>167</v>
      </c>
      <c r="V49" s="7">
        <v>-1985000</v>
      </c>
      <c r="W49" s="7">
        <v>-2160000</v>
      </c>
      <c r="X49" s="7">
        <v>-2349000</v>
      </c>
      <c r="Y49" s="7">
        <v>-2487000</v>
      </c>
    </row>
    <row r="50" spans="1:25" x14ac:dyDescent="0.3">
      <c r="A50" s="6" t="s">
        <v>168</v>
      </c>
      <c r="B50" s="7">
        <v>-391000</v>
      </c>
      <c r="C50" s="7">
        <v>496000</v>
      </c>
      <c r="D50" s="7">
        <v>-320000</v>
      </c>
      <c r="E50" s="7">
        <v>-72000</v>
      </c>
      <c r="K50" s="6" t="s">
        <v>169</v>
      </c>
      <c r="L50" s="7">
        <v>3437000</v>
      </c>
      <c r="M50" s="7">
        <v>3292000</v>
      </c>
      <c r="N50" s="7">
        <v>3425000</v>
      </c>
      <c r="O50" s="7">
        <v>3530000</v>
      </c>
      <c r="U50" s="6" t="s">
        <v>170</v>
      </c>
      <c r="V50" s="7">
        <v>-1985000</v>
      </c>
      <c r="W50" s="7">
        <v>-2160000</v>
      </c>
      <c r="X50" s="7">
        <v>-2349000</v>
      </c>
      <c r="Y50" s="7">
        <v>-2487000</v>
      </c>
    </row>
    <row r="51" spans="1:25" x14ac:dyDescent="0.3">
      <c r="A51" s="6" t="s">
        <v>171</v>
      </c>
      <c r="B51" s="7">
        <v>5154000</v>
      </c>
      <c r="C51" s="7">
        <v>7149000</v>
      </c>
      <c r="D51" s="7">
        <v>8391000</v>
      </c>
      <c r="E51" s="7">
        <v>5043000</v>
      </c>
      <c r="K51" s="6" t="s">
        <v>172</v>
      </c>
      <c r="L51" s="7">
        <v>620000</v>
      </c>
      <c r="M51" s="7">
        <v>561000</v>
      </c>
      <c r="N51" s="7">
        <v>489000</v>
      </c>
      <c r="O51" s="7">
        <v>496000</v>
      </c>
      <c r="U51" s="6" t="s">
        <v>173</v>
      </c>
      <c r="V51" s="7">
        <v>174000</v>
      </c>
      <c r="W51" s="7">
        <v>173000</v>
      </c>
      <c r="X51" s="7">
        <v>129000</v>
      </c>
      <c r="Y51" s="7">
        <v>-13000</v>
      </c>
    </row>
    <row r="52" spans="1:25" x14ac:dyDescent="0.3">
      <c r="A52" s="6" t="s">
        <v>174</v>
      </c>
      <c r="B52" s="6">
        <v>0</v>
      </c>
      <c r="C52" s="6">
        <v>0</v>
      </c>
      <c r="D52" s="6">
        <v>0</v>
      </c>
      <c r="E52" s="6">
        <v>0</v>
      </c>
      <c r="K52" s="6" t="s">
        <v>175</v>
      </c>
      <c r="L52" s="7">
        <v>2688000</v>
      </c>
      <c r="M52" s="7">
        <v>2735000</v>
      </c>
      <c r="N52" s="7">
        <v>1789000</v>
      </c>
      <c r="O52" s="7">
        <v>1885000</v>
      </c>
      <c r="U52" s="4" t="s">
        <v>176</v>
      </c>
      <c r="V52" s="5">
        <v>1948000</v>
      </c>
      <c r="W52" s="5">
        <v>1884000</v>
      </c>
      <c r="X52" s="5">
        <v>1400000</v>
      </c>
      <c r="Y52" s="5">
        <v>2195000</v>
      </c>
    </row>
    <row r="53" spans="1:25" x14ac:dyDescent="0.3">
      <c r="A53" s="6" t="s">
        <v>177</v>
      </c>
      <c r="B53" s="7">
        <v>-104788</v>
      </c>
      <c r="C53" s="7">
        <v>129456</v>
      </c>
      <c r="D53" s="7">
        <v>-75081</v>
      </c>
      <c r="E53" s="7">
        <v>-18681</v>
      </c>
      <c r="K53" s="4" t="s">
        <v>178</v>
      </c>
      <c r="L53" s="5">
        <v>26920000</v>
      </c>
      <c r="M53" s="5">
        <v>28366000</v>
      </c>
      <c r="N53" s="5">
        <v>26958000</v>
      </c>
      <c r="O53" s="5">
        <v>25891000</v>
      </c>
      <c r="U53" s="6" t="s">
        <v>179</v>
      </c>
      <c r="V53" s="7">
        <v>-1436000</v>
      </c>
      <c r="W53" s="7">
        <v>-32000</v>
      </c>
      <c r="X53" s="7">
        <v>-344000</v>
      </c>
      <c r="Y53" s="7">
        <v>559000</v>
      </c>
    </row>
    <row r="54" spans="1:25" x14ac:dyDescent="0.3">
      <c r="K54" s="6" t="s">
        <v>180</v>
      </c>
      <c r="L54" s="7">
        <v>26883000</v>
      </c>
      <c r="M54" s="7">
        <v>28332000</v>
      </c>
      <c r="N54" s="7">
        <v>26932000</v>
      </c>
      <c r="O54" s="7">
        <v>25838000</v>
      </c>
      <c r="U54" s="6" t="s">
        <v>181</v>
      </c>
      <c r="V54" s="7">
        <v>-169000</v>
      </c>
      <c r="W54" s="7">
        <v>-32000</v>
      </c>
      <c r="X54" s="7">
        <v>-140000</v>
      </c>
      <c r="Y54" s="7">
        <v>236000</v>
      </c>
    </row>
    <row r="55" spans="1:25" x14ac:dyDescent="0.3">
      <c r="K55" s="6" t="s">
        <v>182</v>
      </c>
      <c r="L55" s="7">
        <v>32143000</v>
      </c>
      <c r="M55" s="7">
        <v>32216000</v>
      </c>
      <c r="N55" s="7">
        <v>32276000</v>
      </c>
      <c r="O55" s="7">
        <v>32322000</v>
      </c>
      <c r="U55" s="6" t="s">
        <v>183</v>
      </c>
      <c r="V55" s="7">
        <v>3553000</v>
      </c>
      <c r="W55" s="7">
        <v>1948000</v>
      </c>
      <c r="X55" s="7">
        <v>1884000</v>
      </c>
      <c r="Y55" s="7">
        <v>1400000</v>
      </c>
    </row>
    <row r="56" spans="1:25" x14ac:dyDescent="0.3">
      <c r="K56" s="6" t="s">
        <v>184</v>
      </c>
      <c r="L56" s="7">
        <v>31481000</v>
      </c>
      <c r="M56" s="7">
        <v>34236000</v>
      </c>
      <c r="N56" s="7">
        <v>36476000</v>
      </c>
      <c r="O56" s="7">
        <v>36413000</v>
      </c>
      <c r="U56" s="6" t="s">
        <v>185</v>
      </c>
      <c r="V56" s="7">
        <v>1103000</v>
      </c>
      <c r="W56" s="7">
        <v>1607000</v>
      </c>
      <c r="X56" s="7">
        <v>1474000</v>
      </c>
      <c r="Y56" s="7">
        <v>1074000</v>
      </c>
    </row>
    <row r="57" spans="1:25" x14ac:dyDescent="0.3">
      <c r="K57" s="6" t="s">
        <v>186</v>
      </c>
      <c r="L57" s="7">
        <v>25794000</v>
      </c>
      <c r="M57" s="7">
        <v>27174000</v>
      </c>
      <c r="N57" s="7">
        <v>29349000</v>
      </c>
      <c r="O57" s="7">
        <v>31533000</v>
      </c>
      <c r="U57" s="6" t="s">
        <v>187</v>
      </c>
      <c r="V57" s="7">
        <v>551000</v>
      </c>
      <c r="W57" s="7">
        <v>568000</v>
      </c>
      <c r="X57" s="7">
        <v>554000</v>
      </c>
      <c r="Y57" s="7">
        <v>570000</v>
      </c>
    </row>
    <row r="58" spans="1:25" x14ac:dyDescent="0.3">
      <c r="K58" s="6" t="s">
        <v>188</v>
      </c>
      <c r="L58" s="7">
        <v>-10947000</v>
      </c>
      <c r="M58" s="7">
        <v>-10946000</v>
      </c>
      <c r="N58" s="7">
        <v>-12471000</v>
      </c>
      <c r="O58" s="7">
        <v>-11364000</v>
      </c>
      <c r="U58" s="6" t="s">
        <v>189</v>
      </c>
      <c r="V58" s="7">
        <v>-906000</v>
      </c>
      <c r="W58" s="7">
        <v>-1112000</v>
      </c>
      <c r="X58" s="7">
        <v>-1387000</v>
      </c>
      <c r="Y58" s="7">
        <v>-1279000</v>
      </c>
    </row>
    <row r="59" spans="1:25" x14ac:dyDescent="0.3">
      <c r="K59" s="6" t="s">
        <v>190</v>
      </c>
      <c r="L59" s="7">
        <v>37000</v>
      </c>
      <c r="M59" s="7">
        <v>34000</v>
      </c>
      <c r="N59" s="7">
        <v>26000</v>
      </c>
      <c r="O59" s="7">
        <v>53000</v>
      </c>
      <c r="U59" s="6" t="s">
        <v>191</v>
      </c>
      <c r="V59" s="7">
        <v>6404000</v>
      </c>
      <c r="W59" s="7">
        <v>344000</v>
      </c>
      <c r="X59" s="7">
        <v>1671000</v>
      </c>
      <c r="Y59" s="7">
        <v>4203000</v>
      </c>
    </row>
    <row r="60" spans="1:25" x14ac:dyDescent="0.3">
      <c r="K60" s="4" t="s">
        <v>192</v>
      </c>
      <c r="L60" s="5">
        <v>23447000</v>
      </c>
      <c r="M60" s="5">
        <v>19945000</v>
      </c>
      <c r="N60" s="5">
        <v>18372000</v>
      </c>
      <c r="O60" s="5">
        <v>21804000</v>
      </c>
      <c r="U60" s="6" t="s">
        <v>193</v>
      </c>
      <c r="V60" s="7">
        <v>-3032000</v>
      </c>
      <c r="W60" s="7">
        <v>-4368000</v>
      </c>
      <c r="X60" s="7">
        <v>-2897000</v>
      </c>
      <c r="Y60" s="7">
        <v>-2077000</v>
      </c>
    </row>
    <row r="61" spans="1:25" x14ac:dyDescent="0.3">
      <c r="K61" s="6" t="s">
        <v>194</v>
      </c>
      <c r="L61" s="7">
        <v>21010000</v>
      </c>
      <c r="M61" s="7">
        <v>17598000</v>
      </c>
      <c r="N61" s="7">
        <v>16398000</v>
      </c>
      <c r="O61" s="7">
        <v>19080000</v>
      </c>
      <c r="U61" s="6" t="s">
        <v>195</v>
      </c>
      <c r="V61" s="7">
        <v>-2017000</v>
      </c>
      <c r="W61" s="7">
        <v>-1547000</v>
      </c>
      <c r="X61" s="7">
        <v>-2334000</v>
      </c>
      <c r="Y61" s="7">
        <v>-2385000</v>
      </c>
    </row>
    <row r="62" spans="1:25" x14ac:dyDescent="0.3">
      <c r="K62" s="6" t="s">
        <v>196</v>
      </c>
      <c r="L62" s="7">
        <v>-6640000</v>
      </c>
      <c r="M62" s="7">
        <v>-7310000</v>
      </c>
      <c r="N62" s="7">
        <v>-6307000</v>
      </c>
      <c r="O62" s="7">
        <v>-8913000</v>
      </c>
      <c r="U62" s="4" t="s">
        <v>197</v>
      </c>
      <c r="V62" s="5">
        <v>3002000</v>
      </c>
      <c r="W62" s="5">
        <v>3602000</v>
      </c>
      <c r="X62" s="5">
        <v>3523000</v>
      </c>
      <c r="Y62" s="5">
        <v>3235000</v>
      </c>
    </row>
    <row r="63" spans="1:25" x14ac:dyDescent="0.3">
      <c r="K63" s="6" t="s">
        <v>198</v>
      </c>
      <c r="L63" s="7">
        <v>-16277000</v>
      </c>
      <c r="M63" s="7">
        <v>-15400000</v>
      </c>
      <c r="N63" s="7">
        <v>-14933000</v>
      </c>
      <c r="O63" s="7">
        <v>-18126000</v>
      </c>
    </row>
    <row r="64" spans="1:25" x14ac:dyDescent="0.3">
      <c r="K64" s="6" t="s">
        <v>199</v>
      </c>
      <c r="L64" s="7">
        <v>49816000</v>
      </c>
      <c r="M64" s="7">
        <v>47740000</v>
      </c>
      <c r="N64" s="7">
        <v>44681000</v>
      </c>
      <c r="O64" s="7">
        <v>47043000</v>
      </c>
    </row>
    <row r="65" spans="11:15" x14ac:dyDescent="0.3">
      <c r="K65" s="6" t="s">
        <v>200</v>
      </c>
      <c r="L65" s="8">
        <v>1996537.78</v>
      </c>
      <c r="M65" s="8">
        <v>1996537.78</v>
      </c>
      <c r="N65" s="8">
        <v>1996537.78</v>
      </c>
      <c r="O65" s="8">
        <v>1996537.78</v>
      </c>
    </row>
    <row r="66" spans="11:15" x14ac:dyDescent="0.3">
      <c r="K66" s="6" t="s">
        <v>201</v>
      </c>
      <c r="L66" s="8">
        <v>1365891.09</v>
      </c>
      <c r="M66" s="8">
        <v>1348482.71</v>
      </c>
      <c r="N66" s="8">
        <v>1317829.1399999999</v>
      </c>
      <c r="O66" s="8">
        <v>1281576.4099999999</v>
      </c>
    </row>
    <row r="67" spans="11:15" x14ac:dyDescent="0.3">
      <c r="K67" s="6" t="s">
        <v>202</v>
      </c>
      <c r="L67" s="8">
        <v>630646.68999999994</v>
      </c>
      <c r="M67" s="8">
        <v>648055.06999999995</v>
      </c>
      <c r="N67" s="8">
        <v>678708.64</v>
      </c>
      <c r="O67" s="8">
        <v>714961.36</v>
      </c>
    </row>
  </sheetData>
  <mergeCells count="3">
    <mergeCell ref="A1:E1"/>
    <mergeCell ref="K1:O1"/>
    <mergeCell ref="U1:Y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0"/>
  <sheetViews>
    <sheetView topLeftCell="K17" zoomScaleNormal="100" workbookViewId="0">
      <selection activeCell="A23" sqref="A23"/>
    </sheetView>
  </sheetViews>
  <sheetFormatPr defaultColWidth="8.5546875" defaultRowHeight="14.4" x14ac:dyDescent="0.3"/>
  <cols>
    <col min="1" max="1" width="48.88671875" customWidth="1"/>
    <col min="2" max="5" width="10.6640625" customWidth="1"/>
    <col min="11" max="11" width="45.109375" customWidth="1"/>
    <col min="12" max="15" width="11.6640625" customWidth="1"/>
    <col min="21" max="21" width="38.77734375" customWidth="1"/>
    <col min="22" max="22" width="11.33203125" customWidth="1"/>
    <col min="23" max="25" width="10.6640625" customWidth="1"/>
  </cols>
  <sheetData>
    <row r="1" spans="1:25" x14ac:dyDescent="0.3">
      <c r="A1" s="44" t="s">
        <v>24</v>
      </c>
      <c r="B1" s="44"/>
      <c r="C1" s="44"/>
      <c r="D1" s="44"/>
      <c r="E1" s="44"/>
      <c r="K1" s="44" t="s">
        <v>25</v>
      </c>
      <c r="L1" s="44"/>
      <c r="M1" s="44"/>
      <c r="N1" s="44"/>
      <c r="O1" s="44"/>
      <c r="U1" s="44" t="s">
        <v>26</v>
      </c>
      <c r="V1" s="44"/>
      <c r="W1" s="44"/>
      <c r="X1" s="44"/>
      <c r="Y1" s="44"/>
    </row>
    <row r="2" spans="1:25" x14ac:dyDescent="0.3">
      <c r="A2" s="3" t="s">
        <v>27</v>
      </c>
      <c r="B2" s="3">
        <v>2022</v>
      </c>
      <c r="C2" s="3">
        <v>2023</v>
      </c>
      <c r="D2" s="3">
        <v>2024</v>
      </c>
      <c r="E2" s="3">
        <v>2025</v>
      </c>
      <c r="K2" s="3" t="s">
        <v>27</v>
      </c>
      <c r="L2" s="3">
        <v>2022</v>
      </c>
      <c r="M2" s="3">
        <v>2023</v>
      </c>
      <c r="N2" s="3">
        <v>2024</v>
      </c>
      <c r="O2" s="3">
        <v>2025</v>
      </c>
      <c r="U2" s="3" t="s">
        <v>27</v>
      </c>
      <c r="V2" s="3">
        <v>2022</v>
      </c>
      <c r="W2" s="3">
        <v>2023</v>
      </c>
      <c r="X2" s="3">
        <v>2024</v>
      </c>
      <c r="Y2" s="3">
        <v>2025</v>
      </c>
    </row>
    <row r="3" spans="1:25" x14ac:dyDescent="0.3">
      <c r="A3" s="4" t="s">
        <v>28</v>
      </c>
      <c r="B3" s="5">
        <v>86392000</v>
      </c>
      <c r="C3" s="5">
        <v>91471000</v>
      </c>
      <c r="D3" s="5">
        <v>91854000</v>
      </c>
      <c r="E3" s="5">
        <v>93925000</v>
      </c>
      <c r="K3" s="4" t="s">
        <v>29</v>
      </c>
      <c r="L3" s="5">
        <v>92187000</v>
      </c>
      <c r="M3" s="5">
        <v>100495000</v>
      </c>
      <c r="N3" s="5">
        <v>99467000</v>
      </c>
      <c r="O3" s="5">
        <v>107399000</v>
      </c>
      <c r="U3" s="4" t="s">
        <v>30</v>
      </c>
      <c r="V3" s="5">
        <v>10811000</v>
      </c>
      <c r="W3" s="5">
        <v>13442000</v>
      </c>
      <c r="X3" s="5">
        <v>12507000</v>
      </c>
      <c r="Y3" s="5">
        <v>12087000</v>
      </c>
    </row>
    <row r="4" spans="1:25" x14ac:dyDescent="0.3">
      <c r="A4" s="6" t="s">
        <v>31</v>
      </c>
      <c r="B4" s="7">
        <v>86392000</v>
      </c>
      <c r="C4" s="7">
        <v>91471000</v>
      </c>
      <c r="D4" s="7">
        <v>91854000</v>
      </c>
      <c r="E4" s="7">
        <v>93925000</v>
      </c>
      <c r="K4" s="4" t="s">
        <v>32</v>
      </c>
      <c r="L4" s="5">
        <v>21539000</v>
      </c>
      <c r="M4" s="5">
        <v>26950000</v>
      </c>
      <c r="N4" s="5">
        <v>25826000</v>
      </c>
      <c r="O4" s="5">
        <v>27949000</v>
      </c>
      <c r="U4" s="6" t="s">
        <v>33</v>
      </c>
      <c r="V4" s="7">
        <v>10811000</v>
      </c>
      <c r="W4" s="7">
        <v>13442000</v>
      </c>
      <c r="X4" s="7">
        <v>12507000</v>
      </c>
      <c r="Y4" s="7">
        <v>12087000</v>
      </c>
    </row>
    <row r="5" spans="1:25" x14ac:dyDescent="0.3">
      <c r="A5" s="6" t="s">
        <v>34</v>
      </c>
      <c r="B5" s="7">
        <v>40576000</v>
      </c>
      <c r="C5" s="7">
        <v>41881000</v>
      </c>
      <c r="D5" s="7">
        <v>41744000</v>
      </c>
      <c r="E5" s="7">
        <v>43066000</v>
      </c>
      <c r="K5" s="6" t="s">
        <v>35</v>
      </c>
      <c r="L5" s="7">
        <v>5348000</v>
      </c>
      <c r="M5" s="7">
        <v>10003000</v>
      </c>
      <c r="N5" s="7">
        <v>9266000</v>
      </c>
      <c r="O5" s="7">
        <v>9530000</v>
      </c>
      <c r="U5" s="6" t="s">
        <v>36</v>
      </c>
      <c r="V5" s="7">
        <v>8978000</v>
      </c>
      <c r="W5" s="7">
        <v>9155000</v>
      </c>
      <c r="X5" s="7">
        <v>9626000</v>
      </c>
      <c r="Y5" s="7">
        <v>8295000</v>
      </c>
    </row>
    <row r="6" spans="1:25" x14ac:dyDescent="0.3">
      <c r="A6" s="4" t="s">
        <v>37</v>
      </c>
      <c r="B6" s="5">
        <v>45816000</v>
      </c>
      <c r="C6" s="5">
        <v>49590000</v>
      </c>
      <c r="D6" s="5">
        <v>50110000</v>
      </c>
      <c r="E6" s="5">
        <v>50859000</v>
      </c>
      <c r="K6" s="6" t="s">
        <v>38</v>
      </c>
      <c r="L6" s="7">
        <v>4954000</v>
      </c>
      <c r="M6" s="7">
        <v>9711000</v>
      </c>
      <c r="N6" s="7">
        <v>8505000</v>
      </c>
      <c r="O6" s="7">
        <v>9159000</v>
      </c>
      <c r="U6" s="6" t="s">
        <v>39</v>
      </c>
      <c r="V6" s="7">
        <v>-2902000</v>
      </c>
      <c r="W6" s="7">
        <v>150000</v>
      </c>
      <c r="X6" s="7">
        <v>414000</v>
      </c>
      <c r="Y6" s="7">
        <v>504000</v>
      </c>
    </row>
    <row r="7" spans="1:25" x14ac:dyDescent="0.3">
      <c r="A7" s="6" t="s">
        <v>40</v>
      </c>
      <c r="B7" s="7">
        <v>34459000</v>
      </c>
      <c r="C7" s="7">
        <v>36677000</v>
      </c>
      <c r="D7" s="7">
        <v>37190000</v>
      </c>
      <c r="E7" s="7">
        <v>37368000</v>
      </c>
      <c r="K7" s="6" t="s">
        <v>203</v>
      </c>
      <c r="L7" s="7">
        <v>394000</v>
      </c>
      <c r="M7" s="7">
        <v>292000</v>
      </c>
      <c r="N7" s="7">
        <v>761000</v>
      </c>
      <c r="O7" s="7">
        <v>371000</v>
      </c>
      <c r="U7" s="6" t="s">
        <v>42</v>
      </c>
      <c r="V7" s="7">
        <v>-3321000</v>
      </c>
      <c r="W7" s="6">
        <v>0</v>
      </c>
      <c r="X7" s="6">
        <v>0</v>
      </c>
      <c r="Y7" s="6" t="s">
        <v>64</v>
      </c>
    </row>
    <row r="8" spans="1:25" x14ac:dyDescent="0.3">
      <c r="A8" s="6" t="s">
        <v>43</v>
      </c>
      <c r="B8" s="7">
        <v>34459000</v>
      </c>
      <c r="C8" s="7">
        <v>36677000</v>
      </c>
      <c r="D8" s="7">
        <v>37190000</v>
      </c>
      <c r="E8" s="7">
        <v>37368000</v>
      </c>
      <c r="K8" s="6" t="s">
        <v>41</v>
      </c>
      <c r="L8" s="7">
        <v>10163000</v>
      </c>
      <c r="M8" s="7">
        <v>10815000</v>
      </c>
      <c r="N8" s="7">
        <v>10333000</v>
      </c>
      <c r="O8" s="7">
        <v>11506000</v>
      </c>
      <c r="U8" s="6" t="s">
        <v>204</v>
      </c>
      <c r="V8" s="7">
        <v>419000</v>
      </c>
      <c r="W8" s="7">
        <v>150000</v>
      </c>
      <c r="X8" s="7">
        <v>414000</v>
      </c>
      <c r="Y8" s="7">
        <v>504000</v>
      </c>
    </row>
    <row r="9" spans="1:25" x14ac:dyDescent="0.3">
      <c r="A9" s="4" t="s">
        <v>56</v>
      </c>
      <c r="B9" s="5">
        <v>11357000</v>
      </c>
      <c r="C9" s="5">
        <v>12913000</v>
      </c>
      <c r="D9" s="5">
        <v>12920000</v>
      </c>
      <c r="E9" s="5">
        <v>13491000</v>
      </c>
      <c r="K9" s="6" t="s">
        <v>44</v>
      </c>
      <c r="L9" s="7">
        <v>8192000</v>
      </c>
      <c r="M9" s="7">
        <v>8675000</v>
      </c>
      <c r="N9" s="7">
        <v>8487000</v>
      </c>
      <c r="O9" s="7">
        <v>9265000</v>
      </c>
      <c r="U9" s="6" t="s">
        <v>46</v>
      </c>
      <c r="V9" s="7">
        <v>3280000</v>
      </c>
      <c r="W9" s="7">
        <v>3518000</v>
      </c>
      <c r="X9" s="7">
        <v>3815000</v>
      </c>
      <c r="Y9" s="7">
        <v>4178000</v>
      </c>
    </row>
    <row r="10" spans="1:25" x14ac:dyDescent="0.3">
      <c r="A10" s="6" t="s">
        <v>62</v>
      </c>
      <c r="B10" s="7">
        <v>-939000</v>
      </c>
      <c r="C10" s="7">
        <v>-819000</v>
      </c>
      <c r="D10" s="7">
        <v>-919000</v>
      </c>
      <c r="E10" s="7">
        <v>-1121000</v>
      </c>
      <c r="K10" s="6" t="s">
        <v>52</v>
      </c>
      <c r="L10" s="7">
        <v>2121000</v>
      </c>
      <c r="M10" s="7">
        <v>2315000</v>
      </c>
      <c r="N10" s="7">
        <v>2202000</v>
      </c>
      <c r="O10" s="7">
        <v>2471000</v>
      </c>
      <c r="U10" s="6" t="s">
        <v>49</v>
      </c>
      <c r="V10" s="7">
        <v>3280000</v>
      </c>
      <c r="W10" s="7">
        <v>3518000</v>
      </c>
      <c r="X10" s="7">
        <v>3815000</v>
      </c>
      <c r="Y10" s="7">
        <v>4178000</v>
      </c>
    </row>
    <row r="11" spans="1:25" x14ac:dyDescent="0.3">
      <c r="A11" s="6" t="s">
        <v>69</v>
      </c>
      <c r="B11" s="7">
        <v>939000</v>
      </c>
      <c r="C11" s="7">
        <v>819000</v>
      </c>
      <c r="D11" s="7">
        <v>919000</v>
      </c>
      <c r="E11" s="7">
        <v>1121000</v>
      </c>
      <c r="K11" s="6" t="s">
        <v>205</v>
      </c>
      <c r="L11" s="7">
        <v>-150000</v>
      </c>
      <c r="M11" s="7">
        <v>-175000</v>
      </c>
      <c r="N11" s="7">
        <v>-356000</v>
      </c>
      <c r="O11" s="7">
        <v>-230000</v>
      </c>
      <c r="U11" s="6" t="s">
        <v>206</v>
      </c>
      <c r="V11" s="7">
        <v>3280000</v>
      </c>
      <c r="W11" s="7">
        <v>3518000</v>
      </c>
      <c r="X11" s="7">
        <v>3815000</v>
      </c>
      <c r="Y11" s="7">
        <v>4178000</v>
      </c>
    </row>
    <row r="12" spans="1:25" x14ac:dyDescent="0.3">
      <c r="A12" s="6" t="s">
        <v>72</v>
      </c>
      <c r="B12" s="7">
        <v>287000</v>
      </c>
      <c r="C12" s="7">
        <v>-677000</v>
      </c>
      <c r="D12" s="7">
        <v>-55000</v>
      </c>
      <c r="E12" s="7">
        <v>-2126000</v>
      </c>
      <c r="K12" s="6" t="s">
        <v>54</v>
      </c>
      <c r="L12" s="7">
        <v>5222000</v>
      </c>
      <c r="M12" s="7">
        <v>5334000</v>
      </c>
      <c r="N12" s="7">
        <v>5306000</v>
      </c>
      <c r="O12" s="7">
        <v>5845000</v>
      </c>
      <c r="U12" s="6" t="s">
        <v>55</v>
      </c>
      <c r="V12" s="7">
        <v>-787000</v>
      </c>
      <c r="W12" s="7">
        <v>-271000</v>
      </c>
      <c r="X12" s="7">
        <v>-42000</v>
      </c>
      <c r="Y12" s="7">
        <v>71000</v>
      </c>
    </row>
    <row r="13" spans="1:25" x14ac:dyDescent="0.3">
      <c r="A13" s="6" t="s">
        <v>78</v>
      </c>
      <c r="B13" s="7">
        <v>155000</v>
      </c>
      <c r="C13" s="7">
        <v>-927000</v>
      </c>
      <c r="D13" s="7">
        <v>-33000</v>
      </c>
      <c r="E13" s="7">
        <v>-1993000</v>
      </c>
      <c r="K13" s="6" t="s">
        <v>57</v>
      </c>
      <c r="L13" s="7">
        <v>2366000</v>
      </c>
      <c r="M13" s="7">
        <v>2388000</v>
      </c>
      <c r="N13" s="7">
        <v>2440000</v>
      </c>
      <c r="O13" s="7">
        <v>2581000</v>
      </c>
      <c r="U13" s="6" t="s">
        <v>58</v>
      </c>
      <c r="V13" s="7">
        <v>-787000</v>
      </c>
      <c r="W13" s="7">
        <v>-271000</v>
      </c>
      <c r="X13" s="7">
        <v>-42000</v>
      </c>
      <c r="Y13" s="7">
        <v>71000</v>
      </c>
    </row>
    <row r="14" spans="1:25" x14ac:dyDescent="0.3">
      <c r="A14" s="6" t="s">
        <v>81</v>
      </c>
      <c r="B14" s="7">
        <v>-3321000</v>
      </c>
      <c r="C14" s="6">
        <v>0</v>
      </c>
      <c r="D14" s="6">
        <v>0</v>
      </c>
      <c r="E14" s="6" t="s">
        <v>64</v>
      </c>
      <c r="K14" s="6" t="s">
        <v>207</v>
      </c>
      <c r="L14" s="7">
        <v>114000</v>
      </c>
      <c r="M14" s="7">
        <v>104000</v>
      </c>
      <c r="N14" s="7">
        <v>104000</v>
      </c>
      <c r="O14" s="7">
        <v>143000</v>
      </c>
      <c r="U14" s="6" t="s">
        <v>61</v>
      </c>
      <c r="V14" s="7">
        <v>3651000</v>
      </c>
      <c r="W14" s="7">
        <v>1230000</v>
      </c>
      <c r="X14" s="7">
        <v>714000</v>
      </c>
      <c r="Y14" s="7">
        <v>1946000</v>
      </c>
    </row>
    <row r="15" spans="1:25" x14ac:dyDescent="0.3">
      <c r="A15" s="6" t="s">
        <v>84</v>
      </c>
      <c r="B15" s="7">
        <v>3166000</v>
      </c>
      <c r="C15" s="7">
        <v>927000</v>
      </c>
      <c r="D15" s="7">
        <v>33000</v>
      </c>
      <c r="E15" s="7">
        <v>1993000</v>
      </c>
      <c r="K15" s="6" t="s">
        <v>60</v>
      </c>
      <c r="L15" s="7">
        <v>2742000</v>
      </c>
      <c r="M15" s="7">
        <v>2842000</v>
      </c>
      <c r="N15" s="7">
        <v>2762000</v>
      </c>
      <c r="O15" s="7">
        <v>3121000</v>
      </c>
      <c r="U15" s="6" t="s">
        <v>65</v>
      </c>
      <c r="V15" s="7">
        <v>343000</v>
      </c>
      <c r="W15" s="7">
        <v>380000</v>
      </c>
      <c r="X15" s="7">
        <v>362000</v>
      </c>
      <c r="Y15" s="7">
        <v>288000</v>
      </c>
    </row>
    <row r="16" spans="1:25" x14ac:dyDescent="0.3">
      <c r="A16" s="6" t="s">
        <v>90</v>
      </c>
      <c r="B16" s="7">
        <v>132000</v>
      </c>
      <c r="C16" s="7">
        <v>250000</v>
      </c>
      <c r="D16" s="7">
        <v>-22000</v>
      </c>
      <c r="E16" s="7">
        <v>-133000</v>
      </c>
      <c r="K16" s="6" t="s">
        <v>208</v>
      </c>
      <c r="L16" s="7">
        <v>806000</v>
      </c>
      <c r="M16" s="6" t="s">
        <v>64</v>
      </c>
      <c r="N16" s="6" t="s">
        <v>64</v>
      </c>
      <c r="O16" s="6" t="s">
        <v>64</v>
      </c>
      <c r="U16" s="6" t="s">
        <v>68</v>
      </c>
      <c r="V16" s="7">
        <v>-555000</v>
      </c>
      <c r="W16" s="7">
        <v>-74000</v>
      </c>
      <c r="X16" s="7">
        <v>-325000</v>
      </c>
      <c r="Y16" s="7">
        <v>-778000</v>
      </c>
    </row>
    <row r="17" spans="1:25" x14ac:dyDescent="0.3">
      <c r="A17" s="4" t="s">
        <v>93</v>
      </c>
      <c r="B17" s="5">
        <v>10705000</v>
      </c>
      <c r="C17" s="5">
        <v>11417000</v>
      </c>
      <c r="D17" s="5">
        <v>11946000</v>
      </c>
      <c r="E17" s="5">
        <v>10244000</v>
      </c>
      <c r="K17" s="6" t="s">
        <v>209</v>
      </c>
      <c r="L17" s="6">
        <v>0</v>
      </c>
      <c r="M17" s="6" t="s">
        <v>64</v>
      </c>
      <c r="N17" s="6" t="s">
        <v>64</v>
      </c>
      <c r="O17" s="6" t="s">
        <v>64</v>
      </c>
      <c r="U17" s="6" t="s">
        <v>71</v>
      </c>
      <c r="V17" s="7">
        <v>-888000</v>
      </c>
      <c r="W17" s="7">
        <v>-337000</v>
      </c>
      <c r="X17" s="7">
        <v>-1478000</v>
      </c>
      <c r="Y17" s="7">
        <v>-1645000</v>
      </c>
    </row>
    <row r="18" spans="1:25" x14ac:dyDescent="0.3">
      <c r="A18" s="6" t="s">
        <v>96</v>
      </c>
      <c r="B18" s="7">
        <v>1727000</v>
      </c>
      <c r="C18" s="7">
        <v>2262000</v>
      </c>
      <c r="D18" s="7">
        <v>2320000</v>
      </c>
      <c r="E18" s="7">
        <v>1949000</v>
      </c>
      <c r="K18" s="6" t="s">
        <v>67</v>
      </c>
      <c r="L18" s="7">
        <v>806000</v>
      </c>
      <c r="M18" s="7">
        <v>798000</v>
      </c>
      <c r="N18" s="7">
        <v>921000</v>
      </c>
      <c r="O18" s="7">
        <v>1068000</v>
      </c>
      <c r="U18" s="6" t="s">
        <v>74</v>
      </c>
      <c r="V18" s="7">
        <v>-1763000</v>
      </c>
      <c r="W18" s="7">
        <v>-793000</v>
      </c>
      <c r="X18" s="7">
        <v>-138000</v>
      </c>
      <c r="Y18" s="7">
        <v>-580000</v>
      </c>
    </row>
    <row r="19" spans="1:25" x14ac:dyDescent="0.3">
      <c r="A19" s="4" t="s">
        <v>102</v>
      </c>
      <c r="B19" s="5">
        <v>8910000</v>
      </c>
      <c r="C19" s="5">
        <v>9074000</v>
      </c>
      <c r="D19" s="5">
        <v>9578000</v>
      </c>
      <c r="E19" s="5">
        <v>8240000</v>
      </c>
      <c r="K19" s="4" t="s">
        <v>70</v>
      </c>
      <c r="L19" s="5">
        <v>70648000</v>
      </c>
      <c r="M19" s="5">
        <v>73545000</v>
      </c>
      <c r="N19" s="5">
        <v>73641000</v>
      </c>
      <c r="O19" s="5">
        <v>79450000</v>
      </c>
      <c r="U19" s="6" t="s">
        <v>77</v>
      </c>
      <c r="V19" s="7">
        <v>-1142000</v>
      </c>
      <c r="W19" s="7">
        <v>-261000</v>
      </c>
      <c r="X19" s="7">
        <v>-314000</v>
      </c>
      <c r="Y19" s="7">
        <v>-150000</v>
      </c>
    </row>
    <row r="20" spans="1:25" x14ac:dyDescent="0.3">
      <c r="A20" s="6" t="s">
        <v>105</v>
      </c>
      <c r="B20" s="7">
        <v>8910000</v>
      </c>
      <c r="C20" s="7">
        <v>9074000</v>
      </c>
      <c r="D20" s="7">
        <v>9578000</v>
      </c>
      <c r="E20" s="7">
        <v>8240000</v>
      </c>
      <c r="K20" s="4" t="s">
        <v>73</v>
      </c>
      <c r="L20" s="5">
        <v>26664000</v>
      </c>
      <c r="M20" s="5">
        <v>29944000</v>
      </c>
      <c r="N20" s="5">
        <v>31391000</v>
      </c>
      <c r="O20" s="5">
        <v>33650000</v>
      </c>
      <c r="U20" s="6" t="s">
        <v>210</v>
      </c>
      <c r="V20" s="7">
        <v>118000</v>
      </c>
      <c r="W20" s="7">
        <v>-13000</v>
      </c>
      <c r="X20" s="7">
        <v>40000</v>
      </c>
      <c r="Y20" s="7">
        <v>195000</v>
      </c>
    </row>
    <row r="21" spans="1:25" x14ac:dyDescent="0.3">
      <c r="A21" s="6" t="s">
        <v>108</v>
      </c>
      <c r="B21" s="7">
        <v>8978000</v>
      </c>
      <c r="C21" s="7">
        <v>9155000</v>
      </c>
      <c r="D21" s="7">
        <v>9626000</v>
      </c>
      <c r="E21" s="7">
        <v>8295000</v>
      </c>
      <c r="K21" s="6" t="s">
        <v>76</v>
      </c>
      <c r="L21" s="7">
        <v>52157000</v>
      </c>
      <c r="M21" s="7">
        <v>57344000</v>
      </c>
      <c r="N21" s="7">
        <v>59388000</v>
      </c>
      <c r="O21" s="7">
        <v>64654000</v>
      </c>
      <c r="U21" s="6" t="s">
        <v>211</v>
      </c>
      <c r="V21" s="7">
        <v>1899000</v>
      </c>
      <c r="W21" s="7">
        <v>730000</v>
      </c>
      <c r="X21" s="7">
        <v>-1066000</v>
      </c>
      <c r="Y21" s="7">
        <v>-1110000</v>
      </c>
    </row>
    <row r="22" spans="1:25" x14ac:dyDescent="0.3">
      <c r="A22" s="6" t="s">
        <v>111</v>
      </c>
      <c r="B22" s="7">
        <v>8978000</v>
      </c>
      <c r="C22" s="7">
        <v>9155000</v>
      </c>
      <c r="D22" s="7">
        <v>9626000</v>
      </c>
      <c r="E22" s="7">
        <v>8295000</v>
      </c>
      <c r="K22" s="6" t="s">
        <v>79</v>
      </c>
      <c r="L22" s="7">
        <v>1142000</v>
      </c>
      <c r="M22" s="7">
        <v>1159000</v>
      </c>
      <c r="N22" s="7">
        <v>1136000</v>
      </c>
      <c r="O22" s="7">
        <v>1110000</v>
      </c>
      <c r="U22" s="6" t="s">
        <v>83</v>
      </c>
      <c r="V22" s="7">
        <v>1899000</v>
      </c>
      <c r="W22" s="7">
        <v>730000</v>
      </c>
      <c r="X22" s="7">
        <v>-1066000</v>
      </c>
      <c r="Y22" s="7">
        <v>-1110000</v>
      </c>
    </row>
    <row r="23" spans="1:25" x14ac:dyDescent="0.3">
      <c r="A23" s="6" t="s">
        <v>114</v>
      </c>
      <c r="B23" s="7">
        <v>-68000</v>
      </c>
      <c r="C23" s="7">
        <v>-81000</v>
      </c>
      <c r="D23" s="7">
        <v>-48000</v>
      </c>
      <c r="E23" s="7">
        <v>-55000</v>
      </c>
      <c r="K23" s="6" t="s">
        <v>82</v>
      </c>
      <c r="L23" s="7">
        <v>10816000</v>
      </c>
      <c r="M23" s="7">
        <v>11579000</v>
      </c>
      <c r="N23" s="7">
        <v>11938000</v>
      </c>
      <c r="O23" s="7">
        <v>13875000</v>
      </c>
      <c r="U23" s="6" t="s">
        <v>212</v>
      </c>
      <c r="V23" s="7">
        <v>57000</v>
      </c>
      <c r="W23" s="7">
        <v>310000</v>
      </c>
      <c r="X23" s="7">
        <v>-123000</v>
      </c>
      <c r="Y23" s="7">
        <v>-433000</v>
      </c>
    </row>
    <row r="24" spans="1:25" x14ac:dyDescent="0.3">
      <c r="A24" s="6" t="s">
        <v>117</v>
      </c>
      <c r="B24" s="7">
        <v>8910000</v>
      </c>
      <c r="C24" s="7">
        <v>9074000</v>
      </c>
      <c r="D24" s="7">
        <v>9578000</v>
      </c>
      <c r="E24" s="7">
        <v>8240000</v>
      </c>
      <c r="K24" s="6" t="s">
        <v>213</v>
      </c>
      <c r="L24" s="7">
        <v>33335000</v>
      </c>
      <c r="M24" s="7">
        <v>36006000</v>
      </c>
      <c r="N24" s="7">
        <v>36990000</v>
      </c>
      <c r="O24" s="7">
        <v>41113000</v>
      </c>
      <c r="U24" s="6" t="s">
        <v>214</v>
      </c>
      <c r="V24" s="7">
        <v>57000</v>
      </c>
      <c r="W24" s="7">
        <v>310000</v>
      </c>
      <c r="X24" s="7">
        <v>-123000</v>
      </c>
      <c r="Y24" s="7">
        <v>-433000</v>
      </c>
    </row>
    <row r="25" spans="1:25" x14ac:dyDescent="0.3">
      <c r="A25" s="4" t="s">
        <v>120</v>
      </c>
      <c r="B25" s="4">
        <v>6.47</v>
      </c>
      <c r="C25" s="4">
        <v>6.6</v>
      </c>
      <c r="D25" s="4">
        <v>6.98</v>
      </c>
      <c r="E25" s="4">
        <v>6.02</v>
      </c>
      <c r="K25" s="6" t="s">
        <v>88</v>
      </c>
      <c r="L25" s="7">
        <v>2373000</v>
      </c>
      <c r="M25" s="7">
        <v>2905000</v>
      </c>
      <c r="N25" s="7">
        <v>3383000</v>
      </c>
      <c r="O25" s="7">
        <v>3745000</v>
      </c>
      <c r="U25" s="6" t="s">
        <v>86</v>
      </c>
      <c r="V25" s="7">
        <v>1842000</v>
      </c>
      <c r="W25" s="7">
        <v>420000</v>
      </c>
      <c r="X25" s="7">
        <v>-943000</v>
      </c>
      <c r="Y25" s="7">
        <v>-677000</v>
      </c>
    </row>
    <row r="26" spans="1:25" x14ac:dyDescent="0.3">
      <c r="A26" s="6" t="s">
        <v>123</v>
      </c>
      <c r="B26" s="6">
        <v>6.42</v>
      </c>
      <c r="C26" s="6">
        <v>6.56</v>
      </c>
      <c r="D26" s="6">
        <v>6.95</v>
      </c>
      <c r="E26" s="6">
        <v>6</v>
      </c>
      <c r="K26" s="6" t="s">
        <v>91</v>
      </c>
      <c r="L26" s="7">
        <v>4491000</v>
      </c>
      <c r="M26" s="7">
        <v>5695000</v>
      </c>
      <c r="N26" s="7">
        <v>5941000</v>
      </c>
      <c r="O26" s="7">
        <v>4811000</v>
      </c>
      <c r="U26" s="6" t="s">
        <v>215</v>
      </c>
      <c r="V26" s="7">
        <v>-309000</v>
      </c>
      <c r="W26" s="7">
        <v>-309000</v>
      </c>
      <c r="X26" s="7">
        <v>-579000</v>
      </c>
      <c r="Y26" s="7">
        <v>-772000</v>
      </c>
    </row>
    <row r="27" spans="1:25" x14ac:dyDescent="0.3">
      <c r="A27" s="6" t="s">
        <v>126</v>
      </c>
      <c r="B27" s="7">
        <v>1377000</v>
      </c>
      <c r="C27" s="7">
        <v>1374000</v>
      </c>
      <c r="D27" s="7">
        <v>1371989</v>
      </c>
      <c r="E27" s="7">
        <v>1369000</v>
      </c>
      <c r="K27" s="6" t="s">
        <v>94</v>
      </c>
      <c r="L27" s="7">
        <v>-25493000</v>
      </c>
      <c r="M27" s="7">
        <v>-27400000</v>
      </c>
      <c r="N27" s="7">
        <v>-27997000</v>
      </c>
      <c r="O27" s="7">
        <v>-31004000</v>
      </c>
      <c r="U27" s="4" t="s">
        <v>101</v>
      </c>
      <c r="V27" s="5">
        <v>-2430000</v>
      </c>
      <c r="W27" s="5">
        <v>-5495000</v>
      </c>
      <c r="X27" s="5">
        <v>-5472000</v>
      </c>
      <c r="Y27" s="5">
        <v>-6879000</v>
      </c>
    </row>
    <row r="28" spans="1:25" x14ac:dyDescent="0.3">
      <c r="A28" s="6" t="s">
        <v>129</v>
      </c>
      <c r="B28" s="7">
        <v>1387000</v>
      </c>
      <c r="C28" s="7">
        <v>1383000</v>
      </c>
      <c r="D28" s="7">
        <v>1378000</v>
      </c>
      <c r="E28" s="7">
        <v>1373000</v>
      </c>
      <c r="K28" s="4" t="s">
        <v>97</v>
      </c>
      <c r="L28" s="5">
        <v>33788000</v>
      </c>
      <c r="M28" s="5">
        <v>32657000</v>
      </c>
      <c r="N28" s="5">
        <v>32335000</v>
      </c>
      <c r="O28" s="5">
        <v>33982000</v>
      </c>
      <c r="U28" s="6" t="s">
        <v>104</v>
      </c>
      <c r="V28" s="7">
        <v>-2430000</v>
      </c>
      <c r="W28" s="7">
        <v>-5495000</v>
      </c>
      <c r="X28" s="7">
        <v>-5472000</v>
      </c>
      <c r="Y28" s="7">
        <v>-6879000</v>
      </c>
    </row>
    <row r="29" spans="1:25" x14ac:dyDescent="0.3">
      <c r="A29" s="6" t="s">
        <v>59</v>
      </c>
      <c r="B29" s="7">
        <v>11512000</v>
      </c>
      <c r="C29" s="7">
        <v>11986000</v>
      </c>
      <c r="D29" s="7">
        <v>12887000</v>
      </c>
      <c r="E29" s="7">
        <v>11498000</v>
      </c>
      <c r="K29" s="6" t="s">
        <v>100</v>
      </c>
      <c r="L29" s="7">
        <v>18202000</v>
      </c>
      <c r="M29" s="7">
        <v>17728000</v>
      </c>
      <c r="N29" s="7">
        <v>17534000</v>
      </c>
      <c r="O29" s="7">
        <v>18916000</v>
      </c>
      <c r="U29" s="6" t="s">
        <v>107</v>
      </c>
      <c r="V29" s="7">
        <v>-5207000</v>
      </c>
      <c r="W29" s="7">
        <v>-5518000</v>
      </c>
      <c r="X29" s="7">
        <v>-5318000</v>
      </c>
      <c r="Y29" s="7">
        <v>-4415000</v>
      </c>
    </row>
    <row r="30" spans="1:25" x14ac:dyDescent="0.3">
      <c r="A30" s="4" t="s">
        <v>132</v>
      </c>
      <c r="B30" s="5">
        <v>75035000</v>
      </c>
      <c r="C30" s="5">
        <v>78558000</v>
      </c>
      <c r="D30" s="5">
        <v>78934000</v>
      </c>
      <c r="E30" s="5">
        <v>80434000</v>
      </c>
      <c r="K30" s="6" t="s">
        <v>103</v>
      </c>
      <c r="L30" s="7">
        <v>15586000</v>
      </c>
      <c r="M30" s="7">
        <v>14929000</v>
      </c>
      <c r="N30" s="7">
        <v>14801000</v>
      </c>
      <c r="O30" s="7">
        <v>15066000</v>
      </c>
      <c r="U30" s="6" t="s">
        <v>216</v>
      </c>
      <c r="V30" s="7">
        <v>251000</v>
      </c>
      <c r="W30" s="7">
        <v>198000</v>
      </c>
      <c r="X30" s="7">
        <v>342000</v>
      </c>
      <c r="Y30" s="7">
        <v>528000</v>
      </c>
    </row>
    <row r="31" spans="1:25" x14ac:dyDescent="0.3">
      <c r="A31" s="6" t="s">
        <v>135</v>
      </c>
      <c r="B31" s="7">
        <v>8910000</v>
      </c>
      <c r="C31" s="7">
        <v>9074000</v>
      </c>
      <c r="D31" s="7">
        <v>9578000</v>
      </c>
      <c r="E31" s="7">
        <v>8240000</v>
      </c>
      <c r="K31" s="6" t="s">
        <v>106</v>
      </c>
      <c r="L31" s="7">
        <v>3886000</v>
      </c>
      <c r="M31" s="7">
        <v>4330000</v>
      </c>
      <c r="N31" s="7">
        <v>3331000</v>
      </c>
      <c r="O31" s="7">
        <v>4564000</v>
      </c>
      <c r="U31" s="6" t="s">
        <v>113</v>
      </c>
      <c r="V31" s="7">
        <v>251000</v>
      </c>
      <c r="W31" s="7">
        <v>198000</v>
      </c>
      <c r="X31" s="7">
        <v>342000</v>
      </c>
      <c r="Y31" s="7">
        <v>528000</v>
      </c>
    </row>
    <row r="32" spans="1:25" x14ac:dyDescent="0.3">
      <c r="A32" s="6" t="s">
        <v>138</v>
      </c>
      <c r="B32" s="7">
        <v>8779955</v>
      </c>
      <c r="C32" s="7">
        <v>9817454</v>
      </c>
      <c r="D32" s="7">
        <v>9604591</v>
      </c>
      <c r="E32" s="7">
        <v>9853816</v>
      </c>
      <c r="K32" s="6" t="s">
        <v>109</v>
      </c>
      <c r="L32" s="7">
        <v>3073000</v>
      </c>
      <c r="M32" s="7">
        <v>2714000</v>
      </c>
      <c r="N32" s="7">
        <v>1985000</v>
      </c>
      <c r="O32" s="7">
        <v>2038000</v>
      </c>
      <c r="U32" s="6" t="s">
        <v>217</v>
      </c>
      <c r="V32" s="7">
        <v>2632000</v>
      </c>
      <c r="W32" s="7">
        <v>-239000</v>
      </c>
      <c r="X32" s="7">
        <v>-90000</v>
      </c>
      <c r="Y32" s="7">
        <v>-3352000</v>
      </c>
    </row>
    <row r="33" spans="1:25" x14ac:dyDescent="0.3">
      <c r="A33" s="6" t="s">
        <v>144</v>
      </c>
      <c r="B33" s="7">
        <v>939000</v>
      </c>
      <c r="C33" s="7">
        <v>819000</v>
      </c>
      <c r="D33" s="7">
        <v>919000</v>
      </c>
      <c r="E33" s="7">
        <v>1121000</v>
      </c>
      <c r="K33" s="6" t="s">
        <v>218</v>
      </c>
      <c r="L33" s="7">
        <v>813000</v>
      </c>
      <c r="M33" s="7">
        <v>1616000</v>
      </c>
      <c r="N33" s="7">
        <v>1346000</v>
      </c>
      <c r="O33" s="7">
        <v>2526000</v>
      </c>
      <c r="U33" s="6" t="s">
        <v>119</v>
      </c>
      <c r="V33" s="7">
        <v>-873000</v>
      </c>
      <c r="W33" s="7">
        <v>-314000</v>
      </c>
      <c r="X33" s="7">
        <v>-256000</v>
      </c>
      <c r="Y33" s="7">
        <v>-3391000</v>
      </c>
    </row>
    <row r="34" spans="1:25" x14ac:dyDescent="0.3">
      <c r="A34" s="6" t="s">
        <v>147</v>
      </c>
      <c r="B34" s="7">
        <v>-939000</v>
      </c>
      <c r="C34" s="7">
        <v>-819000</v>
      </c>
      <c r="D34" s="7">
        <v>-919000</v>
      </c>
      <c r="E34" s="7">
        <v>-1121000</v>
      </c>
      <c r="K34" s="6" t="s">
        <v>219</v>
      </c>
      <c r="L34" s="7">
        <v>202000</v>
      </c>
      <c r="M34" s="7">
        <v>200000</v>
      </c>
      <c r="N34" s="7">
        <v>111000</v>
      </c>
      <c r="O34" s="7">
        <v>136000</v>
      </c>
      <c r="U34" s="6" t="s">
        <v>122</v>
      </c>
      <c r="V34" s="7">
        <v>3505000</v>
      </c>
      <c r="W34" s="7">
        <v>75000</v>
      </c>
      <c r="X34" s="7">
        <v>166000</v>
      </c>
      <c r="Y34" s="7">
        <v>39000</v>
      </c>
    </row>
    <row r="35" spans="1:25" x14ac:dyDescent="0.3">
      <c r="A35" s="4" t="s">
        <v>150</v>
      </c>
      <c r="B35" s="5">
        <v>11644000</v>
      </c>
      <c r="C35" s="5">
        <v>12236000</v>
      </c>
      <c r="D35" s="5">
        <v>12865000</v>
      </c>
      <c r="E35" s="5">
        <v>11365000</v>
      </c>
      <c r="K35" s="6" t="s">
        <v>220</v>
      </c>
      <c r="L35" s="7">
        <v>4327000</v>
      </c>
      <c r="M35" s="7">
        <v>4577000</v>
      </c>
      <c r="N35" s="7">
        <v>4462000</v>
      </c>
      <c r="O35" s="7">
        <v>4746000</v>
      </c>
      <c r="U35" s="6" t="s">
        <v>221</v>
      </c>
      <c r="V35" s="7">
        <v>-117000</v>
      </c>
      <c r="W35" s="7">
        <v>16000</v>
      </c>
      <c r="X35" s="7">
        <v>-420000</v>
      </c>
      <c r="Y35" s="7">
        <v>460000</v>
      </c>
    </row>
    <row r="36" spans="1:25" x14ac:dyDescent="0.3">
      <c r="A36" s="4" t="s">
        <v>153</v>
      </c>
      <c r="B36" s="5">
        <v>14924000</v>
      </c>
      <c r="C36" s="5">
        <v>15754000</v>
      </c>
      <c r="D36" s="5">
        <v>16680000</v>
      </c>
      <c r="E36" s="5">
        <v>15543000</v>
      </c>
      <c r="K36" s="6" t="s">
        <v>115</v>
      </c>
      <c r="L36" s="7">
        <v>4204000</v>
      </c>
      <c r="M36" s="7">
        <v>4474000</v>
      </c>
      <c r="N36" s="7">
        <v>4362000</v>
      </c>
      <c r="O36" s="7">
        <v>4541000</v>
      </c>
      <c r="U36" s="6" t="s">
        <v>128</v>
      </c>
      <c r="V36" s="7">
        <v>-291000</v>
      </c>
      <c r="W36" s="7">
        <v>-555000</v>
      </c>
      <c r="X36" s="7">
        <v>-425000</v>
      </c>
      <c r="Y36" s="7">
        <v>-190000</v>
      </c>
    </row>
    <row r="37" spans="1:25" x14ac:dyDescent="0.3">
      <c r="A37" s="6" t="s">
        <v>156</v>
      </c>
      <c r="B37" s="7">
        <v>40576000</v>
      </c>
      <c r="C37" s="7">
        <v>41881000</v>
      </c>
      <c r="D37" s="7">
        <v>41744000</v>
      </c>
      <c r="E37" s="7">
        <v>43066000</v>
      </c>
      <c r="K37" s="6" t="s">
        <v>121</v>
      </c>
      <c r="L37" s="7">
        <v>948000</v>
      </c>
      <c r="M37" s="7">
        <v>1057000</v>
      </c>
      <c r="N37" s="7">
        <v>1190000</v>
      </c>
      <c r="O37" s="7">
        <v>1449000</v>
      </c>
      <c r="U37" s="6" t="s">
        <v>131</v>
      </c>
      <c r="V37" s="7">
        <v>174000</v>
      </c>
      <c r="W37" s="7">
        <v>571000</v>
      </c>
      <c r="X37" s="7">
        <v>5000</v>
      </c>
      <c r="Y37" s="7">
        <v>650000</v>
      </c>
    </row>
    <row r="38" spans="1:25" x14ac:dyDescent="0.3">
      <c r="A38" s="6" t="s">
        <v>159</v>
      </c>
      <c r="B38" s="7">
        <v>3280000</v>
      </c>
      <c r="C38" s="7">
        <v>3518000</v>
      </c>
      <c r="D38" s="7">
        <v>3815000</v>
      </c>
      <c r="E38" s="7">
        <v>4178000</v>
      </c>
      <c r="K38" s="6" t="s">
        <v>124</v>
      </c>
      <c r="L38" s="7">
        <v>833000</v>
      </c>
      <c r="M38" s="7">
        <v>780000</v>
      </c>
      <c r="N38" s="7">
        <v>821000</v>
      </c>
      <c r="O38" s="7">
        <v>923000</v>
      </c>
      <c r="U38" s="6" t="s">
        <v>222</v>
      </c>
      <c r="V38" s="7">
        <v>11000</v>
      </c>
      <c r="W38" s="7">
        <v>48000</v>
      </c>
      <c r="X38" s="7">
        <v>14000</v>
      </c>
      <c r="Y38" s="7">
        <v>-100000</v>
      </c>
    </row>
    <row r="39" spans="1:25" x14ac:dyDescent="0.3">
      <c r="A39" s="6" t="s">
        <v>162</v>
      </c>
      <c r="B39" s="7">
        <v>8910000</v>
      </c>
      <c r="C39" s="7">
        <v>9074000</v>
      </c>
      <c r="D39" s="7">
        <v>9578000</v>
      </c>
      <c r="E39" s="7">
        <v>8240000</v>
      </c>
      <c r="K39" s="4" t="s">
        <v>127</v>
      </c>
      <c r="L39" s="5">
        <v>74914000</v>
      </c>
      <c r="M39" s="5">
        <v>81858000</v>
      </c>
      <c r="N39" s="5">
        <v>81296000</v>
      </c>
      <c r="O39" s="5">
        <v>86852000</v>
      </c>
      <c r="U39" s="4" t="s">
        <v>134</v>
      </c>
      <c r="V39" s="5">
        <v>-8523000</v>
      </c>
      <c r="W39" s="5">
        <v>-3009000</v>
      </c>
      <c r="X39" s="5">
        <v>-7556000</v>
      </c>
      <c r="Y39" s="5">
        <v>-4979000</v>
      </c>
    </row>
    <row r="40" spans="1:25" x14ac:dyDescent="0.3">
      <c r="A40" s="6" t="s">
        <v>165</v>
      </c>
      <c r="B40" s="7">
        <v>155000</v>
      </c>
      <c r="C40" s="7">
        <v>-927000</v>
      </c>
      <c r="D40" s="7">
        <v>-33000</v>
      </c>
      <c r="E40" s="7">
        <v>-1993000</v>
      </c>
      <c r="K40" s="4" t="s">
        <v>130</v>
      </c>
      <c r="L40" s="5">
        <v>26785000</v>
      </c>
      <c r="M40" s="5">
        <v>31647000</v>
      </c>
      <c r="N40" s="5">
        <v>31536000</v>
      </c>
      <c r="O40" s="5">
        <v>32764000</v>
      </c>
      <c r="U40" s="6" t="s">
        <v>137</v>
      </c>
      <c r="V40" s="7">
        <v>-8523000</v>
      </c>
      <c r="W40" s="7">
        <v>-3009000</v>
      </c>
      <c r="X40" s="7">
        <v>-7556000</v>
      </c>
      <c r="Y40" s="7">
        <v>-4979000</v>
      </c>
    </row>
    <row r="41" spans="1:25" x14ac:dyDescent="0.3">
      <c r="A41" s="6" t="s">
        <v>168</v>
      </c>
      <c r="B41" s="7">
        <v>155000</v>
      </c>
      <c r="C41" s="7">
        <v>-927000</v>
      </c>
      <c r="D41" s="7">
        <v>-33000</v>
      </c>
      <c r="E41" s="7">
        <v>-1993000</v>
      </c>
      <c r="K41" s="6" t="s">
        <v>133</v>
      </c>
      <c r="L41" s="7">
        <v>15979000</v>
      </c>
      <c r="M41" s="7">
        <v>16925000</v>
      </c>
      <c r="N41" s="7">
        <v>16340000</v>
      </c>
      <c r="O41" s="7">
        <v>17183000</v>
      </c>
      <c r="U41" s="6" t="s">
        <v>140</v>
      </c>
      <c r="V41" s="7">
        <v>-810000</v>
      </c>
      <c r="W41" s="7">
        <v>4770000</v>
      </c>
      <c r="X41" s="7">
        <v>695000</v>
      </c>
      <c r="Y41" s="7">
        <v>3748000</v>
      </c>
    </row>
    <row r="42" spans="1:25" x14ac:dyDescent="0.3">
      <c r="A42" s="6" t="s">
        <v>171</v>
      </c>
      <c r="B42" s="7">
        <v>14769000</v>
      </c>
      <c r="C42" s="7">
        <v>16681000</v>
      </c>
      <c r="D42" s="7">
        <v>16713000</v>
      </c>
      <c r="E42" s="7">
        <v>17536000</v>
      </c>
      <c r="K42" s="6" t="s">
        <v>223</v>
      </c>
      <c r="L42" s="7">
        <v>12342000</v>
      </c>
      <c r="M42" s="7">
        <v>13402000</v>
      </c>
      <c r="N42" s="7">
        <v>12882000</v>
      </c>
      <c r="O42" s="7">
        <v>13671000</v>
      </c>
      <c r="U42" s="6" t="s">
        <v>143</v>
      </c>
      <c r="V42" s="7">
        <v>-797000</v>
      </c>
      <c r="W42" s="7">
        <v>2477000</v>
      </c>
      <c r="X42" s="7">
        <v>156000</v>
      </c>
      <c r="Y42" s="7">
        <v>4107000</v>
      </c>
    </row>
    <row r="43" spans="1:25" x14ac:dyDescent="0.3">
      <c r="A43" s="6" t="s">
        <v>174</v>
      </c>
      <c r="B43" s="6">
        <v>0</v>
      </c>
      <c r="C43" s="6">
        <v>0</v>
      </c>
      <c r="D43" s="6">
        <v>0</v>
      </c>
      <c r="E43" s="6">
        <v>0</v>
      </c>
      <c r="K43" s="6" t="s">
        <v>136</v>
      </c>
      <c r="L43" s="7">
        <v>10732000</v>
      </c>
      <c r="M43" s="7">
        <v>11635000</v>
      </c>
      <c r="N43" s="7">
        <v>10997000</v>
      </c>
      <c r="O43" s="7">
        <v>11704000</v>
      </c>
      <c r="U43" s="6" t="s">
        <v>146</v>
      </c>
      <c r="V43" s="7">
        <v>3377000</v>
      </c>
      <c r="W43" s="7">
        <v>5482000</v>
      </c>
      <c r="X43" s="7">
        <v>4042000</v>
      </c>
      <c r="Y43" s="7">
        <v>8189000</v>
      </c>
    </row>
    <row r="44" spans="1:25" x14ac:dyDescent="0.3">
      <c r="A44" s="6" t="s">
        <v>177</v>
      </c>
      <c r="B44" s="7">
        <v>24955</v>
      </c>
      <c r="C44" s="7">
        <v>-183546</v>
      </c>
      <c r="D44" s="7">
        <v>-6409</v>
      </c>
      <c r="E44" s="7">
        <v>-379184</v>
      </c>
      <c r="K44" s="6" t="s">
        <v>224</v>
      </c>
      <c r="L44" s="7">
        <v>1610000</v>
      </c>
      <c r="M44" s="7">
        <v>1767000</v>
      </c>
      <c r="N44" s="7">
        <v>1885000</v>
      </c>
      <c r="O44" s="7">
        <v>1967000</v>
      </c>
      <c r="U44" s="6" t="s">
        <v>149</v>
      </c>
      <c r="V44" s="7">
        <v>-4174000</v>
      </c>
      <c r="W44" s="7">
        <v>-3005000</v>
      </c>
      <c r="X44" s="7">
        <v>-3886000</v>
      </c>
      <c r="Y44" s="7">
        <v>-4082000</v>
      </c>
    </row>
    <row r="45" spans="1:25" x14ac:dyDescent="0.3">
      <c r="K45" s="6" t="s">
        <v>139</v>
      </c>
      <c r="L45" s="7">
        <v>3637000</v>
      </c>
      <c r="M45" s="7">
        <v>3523000</v>
      </c>
      <c r="N45" s="7">
        <v>3458000</v>
      </c>
      <c r="O45" s="7">
        <v>3512000</v>
      </c>
      <c r="U45" s="6" t="s">
        <v>152</v>
      </c>
      <c r="V45" s="7">
        <v>-13000</v>
      </c>
      <c r="W45" s="7">
        <v>2293000</v>
      </c>
      <c r="X45" s="7">
        <v>539000</v>
      </c>
      <c r="Y45" s="7">
        <v>-359000</v>
      </c>
    </row>
    <row r="46" spans="1:25" x14ac:dyDescent="0.3">
      <c r="K46" s="6" t="s">
        <v>225</v>
      </c>
      <c r="L46" s="7">
        <v>2519000</v>
      </c>
      <c r="M46" s="7">
        <v>2687000</v>
      </c>
      <c r="N46" s="7">
        <v>2256000</v>
      </c>
      <c r="O46" s="7">
        <v>2230000</v>
      </c>
      <c r="U46" s="6" t="s">
        <v>155</v>
      </c>
      <c r="V46" s="7">
        <v>1969000</v>
      </c>
      <c r="W46" s="7">
        <v>5428000</v>
      </c>
      <c r="X46" s="7">
        <v>6178000</v>
      </c>
      <c r="Y46" s="7">
        <v>7561000</v>
      </c>
    </row>
    <row r="47" spans="1:25" x14ac:dyDescent="0.3">
      <c r="K47" s="6" t="s">
        <v>145</v>
      </c>
      <c r="L47" s="7">
        <v>3414000</v>
      </c>
      <c r="M47" s="7">
        <v>6510000</v>
      </c>
      <c r="N47" s="7">
        <v>7082000</v>
      </c>
      <c r="O47" s="7">
        <v>6861000</v>
      </c>
      <c r="U47" s="6" t="s">
        <v>158</v>
      </c>
      <c r="V47" s="7">
        <v>-1982000</v>
      </c>
      <c r="W47" s="7">
        <v>-3135000</v>
      </c>
      <c r="X47" s="7">
        <v>-5639000</v>
      </c>
      <c r="Y47" s="7">
        <v>-7920000</v>
      </c>
    </row>
    <row r="48" spans="1:25" x14ac:dyDescent="0.3">
      <c r="K48" s="6" t="s">
        <v>148</v>
      </c>
      <c r="L48" s="6">
        <v>0</v>
      </c>
      <c r="M48" s="7">
        <v>2286000</v>
      </c>
      <c r="N48" s="7">
        <v>2818000</v>
      </c>
      <c r="O48" s="7">
        <v>2641000</v>
      </c>
      <c r="U48" s="6" t="s">
        <v>161</v>
      </c>
      <c r="V48" s="7">
        <v>-1500000</v>
      </c>
      <c r="W48" s="7">
        <v>-1000000</v>
      </c>
      <c r="X48" s="7">
        <v>-1000000</v>
      </c>
      <c r="Y48" s="7">
        <v>-1000000</v>
      </c>
    </row>
    <row r="49" spans="11:25" x14ac:dyDescent="0.3">
      <c r="K49" s="6" t="s">
        <v>226</v>
      </c>
      <c r="L49" s="7">
        <v>3414000</v>
      </c>
      <c r="M49" s="7">
        <v>4224000</v>
      </c>
      <c r="N49" s="7">
        <v>4264000</v>
      </c>
      <c r="O49" s="7">
        <v>4220000</v>
      </c>
      <c r="U49" s="6" t="s">
        <v>164</v>
      </c>
      <c r="V49" s="7">
        <v>-1500000</v>
      </c>
      <c r="W49" s="7">
        <v>-1000000</v>
      </c>
      <c r="X49" s="7">
        <v>-1000000</v>
      </c>
      <c r="Y49" s="7">
        <v>-1000000</v>
      </c>
    </row>
    <row r="50" spans="11:25" x14ac:dyDescent="0.3">
      <c r="K50" s="6" t="s">
        <v>227</v>
      </c>
      <c r="L50" s="7">
        <v>483000</v>
      </c>
      <c r="M50" s="7">
        <v>556000</v>
      </c>
      <c r="N50" s="7">
        <v>642000</v>
      </c>
      <c r="O50" s="7">
        <v>719000</v>
      </c>
      <c r="U50" s="6" t="s">
        <v>167</v>
      </c>
      <c r="V50" s="7">
        <v>-6172000</v>
      </c>
      <c r="W50" s="7">
        <v>-6682000</v>
      </c>
      <c r="X50" s="7">
        <v>-7229000</v>
      </c>
      <c r="Y50" s="7">
        <v>-7638000</v>
      </c>
    </row>
    <row r="51" spans="11:25" x14ac:dyDescent="0.3">
      <c r="K51" s="6" t="s">
        <v>157</v>
      </c>
      <c r="L51" s="7">
        <v>4390000</v>
      </c>
      <c r="M51" s="7">
        <v>4969000</v>
      </c>
      <c r="N51" s="7">
        <v>5216000</v>
      </c>
      <c r="O51" s="7">
        <v>5771000</v>
      </c>
      <c r="U51" s="6" t="s">
        <v>170</v>
      </c>
      <c r="V51" s="7">
        <v>-6172000</v>
      </c>
      <c r="W51" s="7">
        <v>-6682000</v>
      </c>
      <c r="X51" s="7">
        <v>-7229000</v>
      </c>
      <c r="Y51" s="7">
        <v>-7638000</v>
      </c>
    </row>
    <row r="52" spans="11:25" x14ac:dyDescent="0.3">
      <c r="K52" s="4" t="s">
        <v>160</v>
      </c>
      <c r="L52" s="5">
        <v>48129000</v>
      </c>
      <c r="M52" s="5">
        <v>50211000</v>
      </c>
      <c r="N52" s="5">
        <v>49760000</v>
      </c>
      <c r="O52" s="5">
        <v>54088000</v>
      </c>
      <c r="U52" s="6" t="s">
        <v>228</v>
      </c>
      <c r="V52" s="7">
        <v>138000</v>
      </c>
      <c r="W52" s="7">
        <v>116000</v>
      </c>
      <c r="X52" s="7">
        <v>166000</v>
      </c>
      <c r="Y52" s="7">
        <v>97000</v>
      </c>
    </row>
    <row r="53" spans="11:25" x14ac:dyDescent="0.3">
      <c r="K53" s="6" t="s">
        <v>163</v>
      </c>
      <c r="L53" s="7">
        <v>35657000</v>
      </c>
      <c r="M53" s="7">
        <v>37595000</v>
      </c>
      <c r="N53" s="7">
        <v>37224000</v>
      </c>
      <c r="O53" s="7">
        <v>42321000</v>
      </c>
      <c r="U53" s="6" t="s">
        <v>173</v>
      </c>
      <c r="V53" s="7">
        <v>-179000</v>
      </c>
      <c r="W53" s="7">
        <v>-213000</v>
      </c>
      <c r="X53" s="7">
        <v>-188000</v>
      </c>
      <c r="Y53" s="7">
        <v>-186000</v>
      </c>
    </row>
    <row r="54" spans="11:25" x14ac:dyDescent="0.3">
      <c r="K54" s="6" t="s">
        <v>169</v>
      </c>
      <c r="L54" s="7">
        <v>4133000</v>
      </c>
      <c r="M54" s="7">
        <v>3895000</v>
      </c>
      <c r="N54" s="7">
        <v>3484000</v>
      </c>
      <c r="O54" s="7">
        <v>3802000</v>
      </c>
      <c r="U54" s="4" t="s">
        <v>176</v>
      </c>
      <c r="V54" s="5">
        <v>5100000</v>
      </c>
      <c r="W54" s="5">
        <v>9761000</v>
      </c>
      <c r="X54" s="5">
        <v>8553000</v>
      </c>
      <c r="Y54" s="5">
        <v>9204000</v>
      </c>
    </row>
    <row r="55" spans="11:25" x14ac:dyDescent="0.3">
      <c r="K55" s="6" t="s">
        <v>175</v>
      </c>
      <c r="L55" s="7">
        <v>8339000</v>
      </c>
      <c r="M55" s="7">
        <v>8721000</v>
      </c>
      <c r="N55" s="7">
        <v>9052000</v>
      </c>
      <c r="O55" s="7">
        <v>7965000</v>
      </c>
      <c r="U55" s="6" t="s">
        <v>179</v>
      </c>
      <c r="V55" s="7">
        <v>-142000</v>
      </c>
      <c r="W55" s="7">
        <v>4938000</v>
      </c>
      <c r="X55" s="7">
        <v>-521000</v>
      </c>
      <c r="Y55" s="7">
        <v>229000</v>
      </c>
    </row>
    <row r="56" spans="11:25" x14ac:dyDescent="0.3">
      <c r="K56" s="4" t="s">
        <v>178</v>
      </c>
      <c r="L56" s="5">
        <v>17273000</v>
      </c>
      <c r="M56" s="5">
        <v>18637000</v>
      </c>
      <c r="N56" s="5">
        <v>18171000</v>
      </c>
      <c r="O56" s="5">
        <v>20547000</v>
      </c>
      <c r="U56" s="6" t="s">
        <v>181</v>
      </c>
      <c r="V56" s="7">
        <v>-465000</v>
      </c>
      <c r="W56" s="7">
        <v>-277000</v>
      </c>
      <c r="X56" s="7">
        <v>-687000</v>
      </c>
      <c r="Y56" s="7">
        <v>422000</v>
      </c>
    </row>
    <row r="57" spans="11:25" x14ac:dyDescent="0.3">
      <c r="K57" s="6" t="s">
        <v>229</v>
      </c>
      <c r="L57" s="7">
        <v>23000</v>
      </c>
      <c r="M57" s="7">
        <v>23000</v>
      </c>
      <c r="N57" s="7">
        <v>23000</v>
      </c>
      <c r="O57" s="7">
        <v>23000</v>
      </c>
      <c r="U57" s="6" t="s">
        <v>183</v>
      </c>
      <c r="V57" s="7">
        <v>5707000</v>
      </c>
      <c r="W57" s="7">
        <v>5100000</v>
      </c>
      <c r="X57" s="7">
        <v>9761000</v>
      </c>
      <c r="Y57" s="7">
        <v>8553000</v>
      </c>
    </row>
    <row r="58" spans="11:25" x14ac:dyDescent="0.3">
      <c r="K58" s="6" t="s">
        <v>230</v>
      </c>
      <c r="L58" s="7">
        <v>4134000</v>
      </c>
      <c r="M58" s="7">
        <v>4261000</v>
      </c>
      <c r="N58" s="7">
        <v>4385000</v>
      </c>
      <c r="O58" s="7">
        <v>4451000</v>
      </c>
      <c r="U58" s="6" t="s">
        <v>185</v>
      </c>
      <c r="V58" s="7">
        <v>2766000</v>
      </c>
      <c r="W58" s="7">
        <v>2532000</v>
      </c>
      <c r="X58" s="7">
        <v>3064000</v>
      </c>
      <c r="Y58" s="7">
        <v>3083000</v>
      </c>
    </row>
    <row r="59" spans="11:25" x14ac:dyDescent="0.3">
      <c r="K59" s="6" t="s">
        <v>184</v>
      </c>
      <c r="L59" s="7">
        <v>67800000</v>
      </c>
      <c r="M59" s="7">
        <v>70035000</v>
      </c>
      <c r="N59" s="7">
        <v>72266000</v>
      </c>
      <c r="O59" s="7">
        <v>72788000</v>
      </c>
      <c r="U59" s="6" t="s">
        <v>187</v>
      </c>
      <c r="V59" s="7">
        <v>1043000</v>
      </c>
      <c r="W59" s="7">
        <v>1401000</v>
      </c>
      <c r="X59" s="7">
        <v>1585000</v>
      </c>
      <c r="Y59" s="7">
        <v>1748000</v>
      </c>
    </row>
    <row r="60" spans="11:25" x14ac:dyDescent="0.3">
      <c r="K60" s="6" t="s">
        <v>186</v>
      </c>
      <c r="L60" s="7">
        <v>39506000</v>
      </c>
      <c r="M60" s="7">
        <v>40282000</v>
      </c>
      <c r="N60" s="7">
        <v>41021000</v>
      </c>
      <c r="O60" s="7">
        <v>41832000</v>
      </c>
      <c r="U60" s="6" t="s">
        <v>189</v>
      </c>
      <c r="V60" s="7">
        <v>-5207000</v>
      </c>
      <c r="W60" s="7">
        <v>-5518000</v>
      </c>
      <c r="X60" s="7">
        <v>-5318000</v>
      </c>
      <c r="Y60" s="7">
        <v>-4415000</v>
      </c>
    </row>
    <row r="61" spans="11:25" x14ac:dyDescent="0.3">
      <c r="K61" s="6" t="s">
        <v>188</v>
      </c>
      <c r="L61" s="7">
        <v>-15302000</v>
      </c>
      <c r="M61" s="7">
        <v>-15534000</v>
      </c>
      <c r="N61" s="7">
        <v>-17612000</v>
      </c>
      <c r="O61" s="7">
        <v>-15024000</v>
      </c>
      <c r="U61" s="6" t="s">
        <v>191</v>
      </c>
      <c r="V61" s="7">
        <v>5346000</v>
      </c>
      <c r="W61" s="7">
        <v>10910000</v>
      </c>
      <c r="X61" s="7">
        <v>10220000</v>
      </c>
      <c r="Y61" s="7">
        <v>15750000</v>
      </c>
    </row>
    <row r="62" spans="11:25" x14ac:dyDescent="0.3">
      <c r="K62" s="6" t="s">
        <v>190</v>
      </c>
      <c r="L62" s="7">
        <v>124000</v>
      </c>
      <c r="M62" s="7">
        <v>134000</v>
      </c>
      <c r="N62" s="7">
        <v>130000</v>
      </c>
      <c r="O62" s="7">
        <v>141000</v>
      </c>
      <c r="U62" s="6" t="s">
        <v>193</v>
      </c>
      <c r="V62" s="7">
        <v>-6156000</v>
      </c>
      <c r="W62" s="7">
        <v>-6140000</v>
      </c>
      <c r="X62" s="7">
        <v>-9525000</v>
      </c>
      <c r="Y62" s="7">
        <v>-12002000</v>
      </c>
    </row>
    <row r="63" spans="11:25" x14ac:dyDescent="0.3">
      <c r="K63" s="4" t="s">
        <v>192</v>
      </c>
      <c r="L63" s="5">
        <v>39554000</v>
      </c>
      <c r="M63" s="5">
        <v>44661000</v>
      </c>
      <c r="N63" s="5">
        <v>44948000</v>
      </c>
      <c r="O63" s="5">
        <v>49901000</v>
      </c>
      <c r="U63" s="6" t="s">
        <v>195</v>
      </c>
      <c r="V63" s="7">
        <v>-1500000</v>
      </c>
      <c r="W63" s="7">
        <v>-1000000</v>
      </c>
      <c r="X63" s="7">
        <v>-1000000</v>
      </c>
      <c r="Y63" s="7">
        <v>-1000000</v>
      </c>
    </row>
    <row r="64" spans="11:25" x14ac:dyDescent="0.3">
      <c r="K64" s="6" t="s">
        <v>194</v>
      </c>
      <c r="L64" s="7">
        <v>34117000</v>
      </c>
      <c r="M64" s="7">
        <v>34394000</v>
      </c>
      <c r="N64" s="7">
        <v>35801000</v>
      </c>
      <c r="O64" s="7">
        <v>40023000</v>
      </c>
      <c r="U64" s="4" t="s">
        <v>197</v>
      </c>
      <c r="V64" s="5">
        <v>5604000</v>
      </c>
      <c r="W64" s="5">
        <v>7924000</v>
      </c>
      <c r="X64" s="5">
        <v>7189000</v>
      </c>
      <c r="Y64" s="5">
        <v>7672000</v>
      </c>
    </row>
    <row r="65" spans="11:15" x14ac:dyDescent="0.3">
      <c r="K65" s="6" t="s">
        <v>196</v>
      </c>
      <c r="L65" s="7">
        <v>-5246000</v>
      </c>
      <c r="M65" s="7">
        <v>-4697000</v>
      </c>
      <c r="N65" s="7">
        <v>-5710000</v>
      </c>
      <c r="O65" s="7">
        <v>-4815000</v>
      </c>
    </row>
    <row r="66" spans="11:15" x14ac:dyDescent="0.3">
      <c r="K66" s="6" t="s">
        <v>198</v>
      </c>
      <c r="L66" s="7">
        <v>-16639000</v>
      </c>
      <c r="M66" s="7">
        <v>-14154000</v>
      </c>
      <c r="N66" s="7">
        <v>-14294000</v>
      </c>
      <c r="O66" s="7">
        <v>-13576000</v>
      </c>
    </row>
    <row r="67" spans="11:15" x14ac:dyDescent="0.3">
      <c r="K67" s="6" t="s">
        <v>199</v>
      </c>
      <c r="L67" s="7">
        <v>56220000</v>
      </c>
      <c r="M67" s="7">
        <v>62608000</v>
      </c>
      <c r="N67" s="7">
        <v>62347000</v>
      </c>
      <c r="O67" s="7">
        <v>69588000</v>
      </c>
    </row>
    <row r="68" spans="11:15" x14ac:dyDescent="0.3">
      <c r="K68" s="6" t="s">
        <v>200</v>
      </c>
      <c r="L68" s="7">
        <v>1867000</v>
      </c>
      <c r="M68" s="7">
        <v>1867000</v>
      </c>
      <c r="N68" s="7">
        <v>1866989</v>
      </c>
      <c r="O68" s="7">
        <v>1867340</v>
      </c>
    </row>
    <row r="69" spans="11:15" x14ac:dyDescent="0.3">
      <c r="K69" s="6" t="s">
        <v>201</v>
      </c>
      <c r="L69" s="7">
        <v>1377000</v>
      </c>
      <c r="M69" s="7">
        <v>1374000</v>
      </c>
      <c r="N69" s="7">
        <v>1371989</v>
      </c>
      <c r="O69" s="7">
        <v>1367340</v>
      </c>
    </row>
    <row r="70" spans="11:15" x14ac:dyDescent="0.3">
      <c r="K70" s="6" t="s">
        <v>202</v>
      </c>
      <c r="L70" s="7">
        <v>490000</v>
      </c>
      <c r="M70" s="7">
        <v>493000</v>
      </c>
      <c r="N70" s="7">
        <v>495000</v>
      </c>
      <c r="O70" s="7">
        <v>500000</v>
      </c>
    </row>
  </sheetData>
  <mergeCells count="3">
    <mergeCell ref="A1:E1"/>
    <mergeCell ref="K1:O1"/>
    <mergeCell ref="U1:Y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6"/>
  <sheetViews>
    <sheetView zoomScaleNormal="100" workbookViewId="0">
      <selection activeCell="B3" sqref="B3"/>
    </sheetView>
  </sheetViews>
  <sheetFormatPr defaultColWidth="8.5546875" defaultRowHeight="14.4" x14ac:dyDescent="0.3"/>
  <cols>
    <col min="1" max="1" width="48.88671875" customWidth="1"/>
    <col min="2" max="2" width="10.6640625" customWidth="1"/>
    <col min="3" max="5" width="11.6640625" customWidth="1"/>
    <col min="11" max="11" width="28.44140625" customWidth="1"/>
    <col min="12" max="15" width="10.6640625" customWidth="1"/>
    <col min="21" max="21" width="39.44140625" customWidth="1"/>
    <col min="22" max="25" width="9.77734375" customWidth="1"/>
  </cols>
  <sheetData>
    <row r="1" spans="1:25" x14ac:dyDescent="0.3">
      <c r="A1" s="44" t="s">
        <v>24</v>
      </c>
      <c r="B1" s="44"/>
      <c r="C1" s="44"/>
      <c r="D1" s="44"/>
      <c r="E1" s="44"/>
      <c r="K1" s="44" t="s">
        <v>25</v>
      </c>
      <c r="L1" s="44"/>
      <c r="M1" s="44"/>
      <c r="N1" s="44"/>
      <c r="O1" s="44"/>
      <c r="U1" s="44" t="s">
        <v>26</v>
      </c>
      <c r="V1" s="44"/>
      <c r="W1" s="44"/>
      <c r="X1" s="44"/>
      <c r="Y1" s="44"/>
    </row>
    <row r="2" spans="1:25" x14ac:dyDescent="0.3">
      <c r="A2" s="3" t="s">
        <v>27</v>
      </c>
      <c r="B2" s="3">
        <v>2022</v>
      </c>
      <c r="C2" s="3">
        <v>2023</v>
      </c>
      <c r="D2" s="3">
        <v>2024</v>
      </c>
      <c r="E2" s="3">
        <v>2025</v>
      </c>
      <c r="K2" s="3" t="s">
        <v>27</v>
      </c>
      <c r="L2" s="3">
        <v>2022</v>
      </c>
      <c r="M2" s="3">
        <v>2023</v>
      </c>
      <c r="N2" s="3">
        <v>2024</v>
      </c>
      <c r="O2" s="3">
        <v>2025</v>
      </c>
      <c r="U2" s="3" t="s">
        <v>27</v>
      </c>
      <c r="V2" s="3">
        <v>2022</v>
      </c>
      <c r="W2" s="3">
        <v>2023</v>
      </c>
      <c r="X2" s="3">
        <v>2024</v>
      </c>
      <c r="Y2" s="3">
        <v>2025</v>
      </c>
    </row>
    <row r="3" spans="1:25" x14ac:dyDescent="0.3">
      <c r="A3" s="4" t="s">
        <v>28</v>
      </c>
      <c r="B3" s="5">
        <v>10419294</v>
      </c>
      <c r="C3" s="5">
        <v>11164992</v>
      </c>
      <c r="D3" s="5">
        <v>11202263</v>
      </c>
      <c r="E3" s="5">
        <v>11692576</v>
      </c>
      <c r="K3" s="4" t="s">
        <v>29</v>
      </c>
      <c r="L3" s="5">
        <v>10948820</v>
      </c>
      <c r="M3" s="5">
        <v>11902941</v>
      </c>
      <c r="N3" s="5">
        <v>12946861</v>
      </c>
      <c r="O3" s="5">
        <v>13741297</v>
      </c>
      <c r="U3" s="4" t="s">
        <v>30</v>
      </c>
      <c r="V3" s="5">
        <v>2327837</v>
      </c>
      <c r="W3" s="5">
        <v>2323190</v>
      </c>
      <c r="X3" s="5">
        <v>2531596</v>
      </c>
      <c r="Y3" s="5">
        <v>2277367</v>
      </c>
    </row>
    <row r="4" spans="1:25" x14ac:dyDescent="0.3">
      <c r="A4" s="6" t="s">
        <v>31</v>
      </c>
      <c r="B4" s="7">
        <v>10419294</v>
      </c>
      <c r="C4" s="7">
        <v>11164992</v>
      </c>
      <c r="D4" s="7">
        <v>11202263</v>
      </c>
      <c r="E4" s="7">
        <v>11692576</v>
      </c>
      <c r="K4" s="4" t="s">
        <v>32</v>
      </c>
      <c r="L4" s="5">
        <v>2620406</v>
      </c>
      <c r="M4" s="5">
        <v>2912103</v>
      </c>
      <c r="N4" s="5">
        <v>3759457</v>
      </c>
      <c r="O4" s="5">
        <v>3588899</v>
      </c>
      <c r="U4" s="6" t="s">
        <v>33</v>
      </c>
      <c r="V4" s="7">
        <v>2327837</v>
      </c>
      <c r="W4" s="7">
        <v>2323190</v>
      </c>
      <c r="X4" s="7">
        <v>2531596</v>
      </c>
      <c r="Y4" s="7">
        <v>2277367</v>
      </c>
    </row>
    <row r="5" spans="1:25" x14ac:dyDescent="0.3">
      <c r="A5" s="6" t="s">
        <v>34</v>
      </c>
      <c r="B5" s="7">
        <v>5920509</v>
      </c>
      <c r="C5" s="7">
        <v>6167176</v>
      </c>
      <c r="D5" s="7">
        <v>5901375</v>
      </c>
      <c r="E5" s="7">
        <v>7769885</v>
      </c>
      <c r="K5" s="6" t="s">
        <v>231</v>
      </c>
      <c r="L5" s="7">
        <v>463889</v>
      </c>
      <c r="M5" s="7">
        <v>401902</v>
      </c>
      <c r="N5" s="7">
        <v>730746</v>
      </c>
      <c r="O5" s="7">
        <v>925859</v>
      </c>
      <c r="U5" s="6" t="s">
        <v>36</v>
      </c>
      <c r="V5" s="7">
        <v>1644817</v>
      </c>
      <c r="W5" s="7">
        <v>1861787</v>
      </c>
      <c r="X5" s="7">
        <v>2221239</v>
      </c>
      <c r="Y5" s="7">
        <v>883259</v>
      </c>
    </row>
    <row r="6" spans="1:25" x14ac:dyDescent="0.3">
      <c r="A6" s="4" t="s">
        <v>37</v>
      </c>
      <c r="B6" s="5">
        <v>4498785</v>
      </c>
      <c r="C6" s="5">
        <v>4997816</v>
      </c>
      <c r="D6" s="5">
        <v>5300888</v>
      </c>
      <c r="E6" s="5">
        <v>3922691</v>
      </c>
      <c r="K6" s="6" t="s">
        <v>41</v>
      </c>
      <c r="L6" s="7">
        <v>711203</v>
      </c>
      <c r="M6" s="7">
        <v>823617</v>
      </c>
      <c r="N6" s="7">
        <v>800402</v>
      </c>
      <c r="O6" s="7">
        <v>729547</v>
      </c>
      <c r="U6" s="6" t="s">
        <v>39</v>
      </c>
      <c r="V6" s="6" t="s">
        <v>64</v>
      </c>
      <c r="W6" s="6" t="s">
        <v>64</v>
      </c>
      <c r="X6" s="7">
        <v>-513800</v>
      </c>
      <c r="Y6" s="7">
        <v>530445</v>
      </c>
    </row>
    <row r="7" spans="1:25" x14ac:dyDescent="0.3">
      <c r="A7" s="6" t="s">
        <v>40</v>
      </c>
      <c r="B7" s="7">
        <v>2236009</v>
      </c>
      <c r="C7" s="7">
        <v>2436508</v>
      </c>
      <c r="D7" s="7">
        <v>2373621</v>
      </c>
      <c r="E7" s="7">
        <v>2460569</v>
      </c>
      <c r="K7" s="6" t="s">
        <v>44</v>
      </c>
      <c r="L7" s="7">
        <v>711203</v>
      </c>
      <c r="M7" s="7">
        <v>823617</v>
      </c>
      <c r="N7" s="7">
        <v>800402</v>
      </c>
      <c r="O7" s="7">
        <v>729547</v>
      </c>
      <c r="U7" s="6" t="s">
        <v>45</v>
      </c>
      <c r="V7" s="6" t="s">
        <v>64</v>
      </c>
      <c r="W7" s="6" t="s">
        <v>64</v>
      </c>
      <c r="X7" s="7">
        <v>-513800</v>
      </c>
      <c r="Y7" s="7">
        <v>530445</v>
      </c>
    </row>
    <row r="8" spans="1:25" x14ac:dyDescent="0.3">
      <c r="A8" s="6" t="s">
        <v>43</v>
      </c>
      <c r="B8" s="7">
        <v>2236009</v>
      </c>
      <c r="C8" s="7">
        <v>2436508</v>
      </c>
      <c r="D8" s="7">
        <v>2373621</v>
      </c>
      <c r="E8" s="7">
        <v>2460569</v>
      </c>
      <c r="K8" s="6" t="s">
        <v>47</v>
      </c>
      <c r="L8" s="7">
        <v>737204</v>
      </c>
      <c r="M8" s="7">
        <v>855280</v>
      </c>
      <c r="N8" s="7">
        <v>840889</v>
      </c>
      <c r="O8" s="7">
        <v>749591</v>
      </c>
      <c r="U8" s="6" t="s">
        <v>46</v>
      </c>
      <c r="V8" s="7">
        <v>378959</v>
      </c>
      <c r="W8" s="7">
        <v>419815</v>
      </c>
      <c r="X8" s="7">
        <v>455255</v>
      </c>
      <c r="Y8" s="7">
        <v>503701</v>
      </c>
    </row>
    <row r="9" spans="1:25" x14ac:dyDescent="0.3">
      <c r="A9" s="6" t="s">
        <v>232</v>
      </c>
      <c r="B9" s="7">
        <v>2254475</v>
      </c>
      <c r="C9" s="7">
        <v>2464518</v>
      </c>
      <c r="D9" s="6" t="s">
        <v>64</v>
      </c>
      <c r="E9" s="6" t="s">
        <v>64</v>
      </c>
      <c r="K9" s="6" t="s">
        <v>50</v>
      </c>
      <c r="L9" s="7">
        <v>-26001</v>
      </c>
      <c r="M9" s="7">
        <v>-31663</v>
      </c>
      <c r="N9" s="7">
        <v>-40487</v>
      </c>
      <c r="O9" s="7">
        <v>-20044</v>
      </c>
      <c r="U9" s="6" t="s">
        <v>49</v>
      </c>
      <c r="V9" s="7">
        <v>378959</v>
      </c>
      <c r="W9" s="7">
        <v>419815</v>
      </c>
      <c r="X9" s="7">
        <v>455255</v>
      </c>
      <c r="Y9" s="7">
        <v>503701</v>
      </c>
    </row>
    <row r="10" spans="1:25" x14ac:dyDescent="0.3">
      <c r="A10" s="6" t="s">
        <v>233</v>
      </c>
      <c r="B10" s="7">
        <v>18466</v>
      </c>
      <c r="C10" s="7">
        <v>28010</v>
      </c>
      <c r="D10" s="6" t="s">
        <v>64</v>
      </c>
      <c r="E10" s="6" t="s">
        <v>64</v>
      </c>
      <c r="K10" s="6" t="s">
        <v>54</v>
      </c>
      <c r="L10" s="7">
        <v>1173119</v>
      </c>
      <c r="M10" s="7">
        <v>1340996</v>
      </c>
      <c r="N10" s="7">
        <v>1254094</v>
      </c>
      <c r="O10" s="7">
        <v>1429254</v>
      </c>
      <c r="U10" s="6" t="s">
        <v>55</v>
      </c>
      <c r="V10" s="7">
        <v>36889</v>
      </c>
      <c r="W10" s="7">
        <v>16233</v>
      </c>
      <c r="X10" s="7">
        <v>73235</v>
      </c>
      <c r="Y10" s="7">
        <v>122293</v>
      </c>
    </row>
    <row r="11" spans="1:25" x14ac:dyDescent="0.3">
      <c r="A11" s="6" t="s">
        <v>234</v>
      </c>
      <c r="B11" s="7">
        <v>2236009</v>
      </c>
      <c r="C11" s="7">
        <v>2436508</v>
      </c>
      <c r="D11" s="6" t="s">
        <v>64</v>
      </c>
      <c r="E11" s="6" t="s">
        <v>64</v>
      </c>
      <c r="K11" s="6" t="s">
        <v>57</v>
      </c>
      <c r="L11" s="7">
        <v>372612</v>
      </c>
      <c r="M11" s="7">
        <v>481111</v>
      </c>
      <c r="N11" s="7">
        <v>477592</v>
      </c>
      <c r="O11" s="7">
        <v>762391</v>
      </c>
      <c r="U11" s="6" t="s">
        <v>58</v>
      </c>
      <c r="V11" s="7">
        <v>36889</v>
      </c>
      <c r="W11" s="7">
        <v>16233</v>
      </c>
      <c r="X11" s="7">
        <v>73235</v>
      </c>
      <c r="Y11" s="7">
        <v>122293</v>
      </c>
    </row>
    <row r="12" spans="1:25" x14ac:dyDescent="0.3">
      <c r="A12" s="4" t="s">
        <v>56</v>
      </c>
      <c r="B12" s="5">
        <v>2262776</v>
      </c>
      <c r="C12" s="5">
        <v>2561308</v>
      </c>
      <c r="D12" s="5">
        <v>2927267</v>
      </c>
      <c r="E12" s="5">
        <v>1462122</v>
      </c>
      <c r="K12" s="6" t="s">
        <v>207</v>
      </c>
      <c r="L12" s="7">
        <v>137298</v>
      </c>
      <c r="M12" s="7">
        <v>192232</v>
      </c>
      <c r="N12" s="7">
        <v>204674</v>
      </c>
      <c r="O12" s="7">
        <v>294374</v>
      </c>
      <c r="U12" s="6" t="s">
        <v>61</v>
      </c>
      <c r="V12" s="7">
        <v>188286</v>
      </c>
      <c r="W12" s="7">
        <v>210484</v>
      </c>
      <c r="X12" s="7">
        <v>243311</v>
      </c>
      <c r="Y12" s="7">
        <v>30886</v>
      </c>
    </row>
    <row r="13" spans="1:25" x14ac:dyDescent="0.3">
      <c r="A13" s="6" t="s">
        <v>62</v>
      </c>
      <c r="B13" s="7">
        <v>-137557</v>
      </c>
      <c r="C13" s="7">
        <v>-151785</v>
      </c>
      <c r="D13" s="7">
        <v>-165655</v>
      </c>
      <c r="E13" s="7">
        <v>-190206</v>
      </c>
      <c r="K13" s="6" t="s">
        <v>60</v>
      </c>
      <c r="L13" s="7">
        <v>855217</v>
      </c>
      <c r="M13" s="7">
        <v>948974</v>
      </c>
      <c r="N13" s="7">
        <v>990785</v>
      </c>
      <c r="O13" s="7">
        <v>1074690</v>
      </c>
      <c r="U13" s="6" t="s">
        <v>65</v>
      </c>
      <c r="V13" s="7">
        <v>65991</v>
      </c>
      <c r="W13" s="7">
        <v>81021</v>
      </c>
      <c r="X13" s="7">
        <v>44414</v>
      </c>
      <c r="Y13" s="7">
        <v>65460</v>
      </c>
    </row>
    <row r="14" spans="1:25" x14ac:dyDescent="0.3">
      <c r="A14" s="6" t="s">
        <v>66</v>
      </c>
      <c r="B14" s="7">
        <v>2538</v>
      </c>
      <c r="C14" s="7">
        <v>9726</v>
      </c>
      <c r="D14" s="7">
        <v>8662</v>
      </c>
      <c r="E14" s="7">
        <v>34600</v>
      </c>
      <c r="K14" s="6" t="s">
        <v>63</v>
      </c>
      <c r="L14" s="7">
        <v>-192008</v>
      </c>
      <c r="M14" s="7">
        <v>-281321</v>
      </c>
      <c r="N14" s="7">
        <v>-418957</v>
      </c>
      <c r="O14" s="7">
        <v>-702201</v>
      </c>
      <c r="U14" s="6" t="s">
        <v>68</v>
      </c>
      <c r="V14" s="7">
        <v>42271</v>
      </c>
      <c r="W14" s="7">
        <v>75706</v>
      </c>
      <c r="X14" s="7">
        <v>61005</v>
      </c>
      <c r="Y14" s="7">
        <v>85560</v>
      </c>
    </row>
    <row r="15" spans="1:25" x14ac:dyDescent="0.3">
      <c r="A15" s="6" t="s">
        <v>69</v>
      </c>
      <c r="B15" s="7">
        <v>140095</v>
      </c>
      <c r="C15" s="7">
        <v>161511</v>
      </c>
      <c r="D15" s="7">
        <v>174317</v>
      </c>
      <c r="E15" s="7">
        <v>224806</v>
      </c>
      <c r="K15" s="6" t="s">
        <v>208</v>
      </c>
      <c r="L15" s="7">
        <v>143888</v>
      </c>
      <c r="M15" s="7">
        <v>227567</v>
      </c>
      <c r="N15" s="7">
        <v>269792</v>
      </c>
      <c r="O15" s="7">
        <v>201527</v>
      </c>
      <c r="U15" s="6" t="s">
        <v>71</v>
      </c>
      <c r="V15" s="7">
        <v>-29376</v>
      </c>
      <c r="W15" s="7">
        <v>-341856</v>
      </c>
      <c r="X15" s="7">
        <v>-53063</v>
      </c>
      <c r="Y15" s="7">
        <v>55763</v>
      </c>
    </row>
    <row r="16" spans="1:25" x14ac:dyDescent="0.3">
      <c r="A16" s="6" t="s">
        <v>72</v>
      </c>
      <c r="B16" s="7">
        <v>-208148</v>
      </c>
      <c r="C16" s="7">
        <v>-237659</v>
      </c>
      <c r="D16" s="7">
        <v>-287676</v>
      </c>
      <c r="E16" s="7">
        <v>-57708</v>
      </c>
      <c r="K16" s="6" t="s">
        <v>67</v>
      </c>
      <c r="L16" s="7">
        <v>128307</v>
      </c>
      <c r="M16" s="7">
        <v>118021</v>
      </c>
      <c r="N16" s="7">
        <v>704423</v>
      </c>
      <c r="O16" s="7">
        <v>302712</v>
      </c>
      <c r="U16" s="6" t="s">
        <v>74</v>
      </c>
      <c r="V16" s="7">
        <v>-38165</v>
      </c>
      <c r="W16" s="7">
        <v>-102080</v>
      </c>
      <c r="X16" s="7">
        <v>4456</v>
      </c>
      <c r="Y16" s="7">
        <v>98968</v>
      </c>
    </row>
    <row r="17" spans="1:25" x14ac:dyDescent="0.3">
      <c r="A17" s="6" t="s">
        <v>78</v>
      </c>
      <c r="B17" s="7">
        <v>-190275</v>
      </c>
      <c r="C17" s="7">
        <v>-210925</v>
      </c>
      <c r="D17" s="7">
        <v>-272346</v>
      </c>
      <c r="E17" s="7">
        <v>-45077</v>
      </c>
      <c r="K17" s="4" t="s">
        <v>70</v>
      </c>
      <c r="L17" s="5">
        <v>8328414</v>
      </c>
      <c r="M17" s="5">
        <v>8990838</v>
      </c>
      <c r="N17" s="5">
        <v>9187404</v>
      </c>
      <c r="O17" s="5">
        <v>10152398</v>
      </c>
      <c r="U17" s="6" t="s">
        <v>235</v>
      </c>
      <c r="V17" s="7">
        <v>-38165</v>
      </c>
      <c r="W17" s="7">
        <v>-102080</v>
      </c>
      <c r="X17" s="7">
        <v>4456</v>
      </c>
      <c r="Y17" s="7">
        <v>98968</v>
      </c>
    </row>
    <row r="18" spans="1:25" x14ac:dyDescent="0.3">
      <c r="A18" s="6" t="s">
        <v>81</v>
      </c>
      <c r="B18" s="7">
        <v>1989</v>
      </c>
      <c r="C18" s="6">
        <v>441</v>
      </c>
      <c r="D18" s="7">
        <v>29035</v>
      </c>
      <c r="E18" s="7">
        <v>20594</v>
      </c>
      <c r="K18" s="4" t="s">
        <v>73</v>
      </c>
      <c r="L18" s="5">
        <v>3096174</v>
      </c>
      <c r="M18" s="5">
        <v>3617654</v>
      </c>
      <c r="N18" s="5">
        <v>3796592</v>
      </c>
      <c r="O18" s="5">
        <v>3854953</v>
      </c>
      <c r="U18" s="6" t="s">
        <v>77</v>
      </c>
      <c r="V18" s="7">
        <v>-186963</v>
      </c>
      <c r="W18" s="7">
        <v>-157153</v>
      </c>
      <c r="X18" s="7">
        <v>68831</v>
      </c>
      <c r="Y18" s="7">
        <v>-133320</v>
      </c>
    </row>
    <row r="19" spans="1:25" x14ac:dyDescent="0.3">
      <c r="A19" s="6" t="s">
        <v>84</v>
      </c>
      <c r="B19" s="6">
        <v>0</v>
      </c>
      <c r="C19" s="6" t="s">
        <v>64</v>
      </c>
      <c r="D19" s="6" t="s">
        <v>64</v>
      </c>
      <c r="E19" s="6" t="s">
        <v>64</v>
      </c>
      <c r="K19" s="6" t="s">
        <v>76</v>
      </c>
      <c r="L19" s="7">
        <v>6035959</v>
      </c>
      <c r="M19" s="7">
        <v>6757047</v>
      </c>
      <c r="N19" s="7">
        <v>7150550</v>
      </c>
      <c r="O19" s="7">
        <v>7468143</v>
      </c>
      <c r="U19" s="6" t="s">
        <v>210</v>
      </c>
      <c r="V19" s="7">
        <v>-14507</v>
      </c>
      <c r="W19" s="7">
        <v>-22444</v>
      </c>
      <c r="X19" s="7">
        <v>-89809</v>
      </c>
      <c r="Y19" s="7">
        <v>-153534</v>
      </c>
    </row>
    <row r="20" spans="1:25" x14ac:dyDescent="0.3">
      <c r="A20" s="6" t="s">
        <v>236</v>
      </c>
      <c r="B20" s="7">
        <v>188286</v>
      </c>
      <c r="C20" s="7">
        <v>210484</v>
      </c>
      <c r="D20" s="7">
        <v>243311</v>
      </c>
      <c r="E20" s="7">
        <v>24483</v>
      </c>
      <c r="K20" s="6" t="s">
        <v>79</v>
      </c>
      <c r="L20" s="7">
        <v>155963</v>
      </c>
      <c r="M20" s="7">
        <v>180751</v>
      </c>
      <c r="N20" s="7">
        <v>194502</v>
      </c>
      <c r="O20" s="7">
        <v>199559</v>
      </c>
      <c r="U20" s="6" t="s">
        <v>80</v>
      </c>
      <c r="V20" s="7">
        <v>221484</v>
      </c>
      <c r="W20" s="7">
        <v>17753</v>
      </c>
      <c r="X20" s="7">
        <v>11808</v>
      </c>
      <c r="Y20" s="7">
        <v>245690</v>
      </c>
    </row>
    <row r="21" spans="1:25" x14ac:dyDescent="0.3">
      <c r="A21" s="6" t="s">
        <v>90</v>
      </c>
      <c r="B21" s="7">
        <v>-17873</v>
      </c>
      <c r="C21" s="7">
        <v>-26734</v>
      </c>
      <c r="D21" s="7">
        <v>-15330</v>
      </c>
      <c r="E21" s="7">
        <v>-12631</v>
      </c>
      <c r="K21" s="6" t="s">
        <v>82</v>
      </c>
      <c r="L21" s="7">
        <v>1545053</v>
      </c>
      <c r="M21" s="7">
        <v>1763070</v>
      </c>
      <c r="N21" s="7">
        <v>1991937</v>
      </c>
      <c r="O21" s="7">
        <v>2102794</v>
      </c>
      <c r="U21" s="6" t="s">
        <v>83</v>
      </c>
      <c r="V21" s="7">
        <v>221484</v>
      </c>
      <c r="W21" s="7">
        <v>17753</v>
      </c>
      <c r="X21" s="7">
        <v>11808</v>
      </c>
      <c r="Y21" s="7">
        <v>245690</v>
      </c>
    </row>
    <row r="22" spans="1:25" x14ac:dyDescent="0.3">
      <c r="A22" s="4" t="s">
        <v>93</v>
      </c>
      <c r="B22" s="5">
        <v>1917071</v>
      </c>
      <c r="C22" s="5">
        <v>2171864</v>
      </c>
      <c r="D22" s="5">
        <v>2473936</v>
      </c>
      <c r="E22" s="5">
        <v>1214208</v>
      </c>
      <c r="K22" s="6" t="s">
        <v>237</v>
      </c>
      <c r="L22" s="7">
        <v>3592251</v>
      </c>
      <c r="M22" s="7">
        <v>3861006</v>
      </c>
      <c r="N22" s="7">
        <v>4147530</v>
      </c>
      <c r="O22" s="7">
        <v>4515447</v>
      </c>
      <c r="U22" s="6" t="s">
        <v>212</v>
      </c>
      <c r="V22" s="7">
        <v>5005</v>
      </c>
      <c r="W22" s="7">
        <v>-32481</v>
      </c>
      <c r="X22" s="7">
        <v>-17093</v>
      </c>
      <c r="Y22" s="7">
        <v>82195</v>
      </c>
    </row>
    <row r="23" spans="1:25" x14ac:dyDescent="0.3">
      <c r="A23" s="6" t="s">
        <v>96</v>
      </c>
      <c r="B23" s="7">
        <v>272254</v>
      </c>
      <c r="C23" s="7">
        <v>310077</v>
      </c>
      <c r="D23" s="7">
        <v>252697</v>
      </c>
      <c r="E23" s="7">
        <v>330949</v>
      </c>
      <c r="K23" s="6" t="s">
        <v>88</v>
      </c>
      <c r="L23" s="7">
        <v>326472</v>
      </c>
      <c r="M23" s="7">
        <v>307976</v>
      </c>
      <c r="N23" s="7">
        <v>337739</v>
      </c>
      <c r="O23" s="7">
        <v>325345</v>
      </c>
      <c r="U23" s="6" t="s">
        <v>214</v>
      </c>
      <c r="V23" s="7">
        <v>5005</v>
      </c>
      <c r="W23" s="7">
        <v>-32481</v>
      </c>
      <c r="X23" s="7">
        <v>-17093</v>
      </c>
      <c r="Y23" s="7">
        <v>82195</v>
      </c>
    </row>
    <row r="24" spans="1:25" x14ac:dyDescent="0.3">
      <c r="A24" s="4" t="s">
        <v>102</v>
      </c>
      <c r="B24" s="5">
        <v>1644817</v>
      </c>
      <c r="C24" s="5">
        <v>1861787</v>
      </c>
      <c r="D24" s="5">
        <v>2221239</v>
      </c>
      <c r="E24" s="5">
        <v>883259</v>
      </c>
      <c r="K24" s="6" t="s">
        <v>91</v>
      </c>
      <c r="L24" s="7">
        <v>416220</v>
      </c>
      <c r="M24" s="7">
        <v>644244</v>
      </c>
      <c r="N24" s="7">
        <v>478842</v>
      </c>
      <c r="O24" s="7">
        <v>324998</v>
      </c>
      <c r="U24" s="6" t="s">
        <v>86</v>
      </c>
      <c r="V24" s="7">
        <v>216479</v>
      </c>
      <c r="W24" s="7">
        <v>50234</v>
      </c>
      <c r="X24" s="7">
        <v>28901</v>
      </c>
      <c r="Y24" s="7">
        <v>163495</v>
      </c>
    </row>
    <row r="25" spans="1:25" x14ac:dyDescent="0.3">
      <c r="A25" s="6" t="s">
        <v>105</v>
      </c>
      <c r="B25" s="7">
        <v>1644817</v>
      </c>
      <c r="C25" s="7">
        <v>1861787</v>
      </c>
      <c r="D25" s="7">
        <v>2221239</v>
      </c>
      <c r="E25" s="7">
        <v>883259</v>
      </c>
      <c r="K25" s="6" t="s">
        <v>94</v>
      </c>
      <c r="L25" s="7">
        <v>-2939785</v>
      </c>
      <c r="M25" s="7">
        <v>-3139393</v>
      </c>
      <c r="N25" s="7">
        <v>-3353958</v>
      </c>
      <c r="O25" s="7">
        <v>-3613190</v>
      </c>
      <c r="U25" s="6" t="s">
        <v>95</v>
      </c>
      <c r="V25" s="7">
        <v>-11225</v>
      </c>
      <c r="W25" s="7">
        <v>-77932</v>
      </c>
      <c r="X25" s="7">
        <v>-48349</v>
      </c>
      <c r="Y25" s="7">
        <v>-2041</v>
      </c>
    </row>
    <row r="26" spans="1:25" x14ac:dyDescent="0.3">
      <c r="A26" s="6" t="s">
        <v>108</v>
      </c>
      <c r="B26" s="7">
        <v>1644817</v>
      </c>
      <c r="C26" s="7">
        <v>1861787</v>
      </c>
      <c r="D26" s="7">
        <v>2221239</v>
      </c>
      <c r="E26" s="7">
        <v>883259</v>
      </c>
      <c r="K26" s="4" t="s">
        <v>97</v>
      </c>
      <c r="L26" s="5">
        <v>4893259</v>
      </c>
      <c r="M26" s="5">
        <v>4935484</v>
      </c>
      <c r="N26" s="5">
        <v>4946706</v>
      </c>
      <c r="O26" s="5">
        <v>5822988</v>
      </c>
      <c r="U26" s="4" t="s">
        <v>101</v>
      </c>
      <c r="V26" s="5">
        <v>-787376</v>
      </c>
      <c r="W26" s="5">
        <v>-1198676</v>
      </c>
      <c r="X26" s="5">
        <v>-960314</v>
      </c>
      <c r="Y26" s="5">
        <v>-1278717</v>
      </c>
    </row>
    <row r="27" spans="1:25" x14ac:dyDescent="0.3">
      <c r="A27" s="6" t="s">
        <v>111</v>
      </c>
      <c r="B27" s="7">
        <v>1644817</v>
      </c>
      <c r="C27" s="7">
        <v>1861787</v>
      </c>
      <c r="D27" s="7">
        <v>2221239</v>
      </c>
      <c r="E27" s="7">
        <v>883259</v>
      </c>
      <c r="K27" s="6" t="s">
        <v>100</v>
      </c>
      <c r="L27" s="7">
        <v>2606956</v>
      </c>
      <c r="M27" s="7">
        <v>2696050</v>
      </c>
      <c r="N27" s="7">
        <v>2705753</v>
      </c>
      <c r="O27" s="7">
        <v>2996005</v>
      </c>
      <c r="U27" s="6" t="s">
        <v>104</v>
      </c>
      <c r="V27" s="7">
        <v>-787376</v>
      </c>
      <c r="W27" s="7">
        <v>-1198676</v>
      </c>
      <c r="X27" s="7">
        <v>-960314</v>
      </c>
      <c r="Y27" s="7">
        <v>-1278717</v>
      </c>
    </row>
    <row r="28" spans="1:25" x14ac:dyDescent="0.3">
      <c r="A28" s="6" t="s">
        <v>114</v>
      </c>
      <c r="B28" s="6">
        <v>0</v>
      </c>
      <c r="C28" s="6">
        <v>0</v>
      </c>
      <c r="D28" s="6" t="s">
        <v>64</v>
      </c>
      <c r="E28" s="6" t="s">
        <v>64</v>
      </c>
      <c r="K28" s="6" t="s">
        <v>103</v>
      </c>
      <c r="L28" s="7">
        <v>2286303</v>
      </c>
      <c r="M28" s="7">
        <v>2239434</v>
      </c>
      <c r="N28" s="7">
        <v>2240953</v>
      </c>
      <c r="O28" s="7">
        <v>2826983</v>
      </c>
      <c r="U28" s="6" t="s">
        <v>107</v>
      </c>
      <c r="V28" s="7">
        <v>-519481</v>
      </c>
      <c r="W28" s="7">
        <v>-771109</v>
      </c>
      <c r="X28" s="7">
        <v>-605942</v>
      </c>
      <c r="Y28" s="7">
        <v>-454622</v>
      </c>
    </row>
    <row r="29" spans="1:25" x14ac:dyDescent="0.3">
      <c r="A29" s="6" t="s">
        <v>117</v>
      </c>
      <c r="B29" s="7">
        <v>1644817</v>
      </c>
      <c r="C29" s="7">
        <v>1861787</v>
      </c>
      <c r="D29" s="7">
        <v>2221239</v>
      </c>
      <c r="E29" s="7">
        <v>883259</v>
      </c>
      <c r="K29" s="6" t="s">
        <v>106</v>
      </c>
      <c r="L29" s="7">
        <v>133029</v>
      </c>
      <c r="M29" s="7">
        <v>207177</v>
      </c>
      <c r="N29" s="7">
        <v>212928</v>
      </c>
      <c r="O29" s="7">
        <v>176567</v>
      </c>
      <c r="U29" s="6" t="s">
        <v>238</v>
      </c>
      <c r="V29" s="6" t="s">
        <v>64</v>
      </c>
      <c r="W29" s="6">
        <v>0</v>
      </c>
      <c r="X29" s="6">
        <v>0</v>
      </c>
      <c r="Y29" s="7">
        <v>-73597</v>
      </c>
    </row>
    <row r="30" spans="1:25" x14ac:dyDescent="0.3">
      <c r="A30" s="4" t="s">
        <v>120</v>
      </c>
      <c r="B30" s="4">
        <v>8.2200000000000006</v>
      </c>
      <c r="C30" s="4">
        <v>9.31</v>
      </c>
      <c r="D30" s="4">
        <v>11.22</v>
      </c>
      <c r="E30" s="4">
        <v>4.46</v>
      </c>
      <c r="K30" s="6" t="s">
        <v>109</v>
      </c>
      <c r="L30" s="7">
        <v>133029</v>
      </c>
      <c r="M30" s="7">
        <v>207177</v>
      </c>
      <c r="N30" s="7">
        <v>212928</v>
      </c>
      <c r="O30" s="7">
        <v>176567</v>
      </c>
      <c r="U30" s="6" t="s">
        <v>239</v>
      </c>
      <c r="V30" s="6" t="s">
        <v>64</v>
      </c>
      <c r="W30" s="6">
        <v>0</v>
      </c>
      <c r="X30" s="6">
        <v>0</v>
      </c>
      <c r="Y30" s="7">
        <v>-73597</v>
      </c>
    </row>
    <row r="31" spans="1:25" x14ac:dyDescent="0.3">
      <c r="A31" s="6" t="s">
        <v>123</v>
      </c>
      <c r="B31" s="6">
        <v>7.96</v>
      </c>
      <c r="C31" s="6">
        <v>9.06</v>
      </c>
      <c r="D31" s="6">
        <v>10.92</v>
      </c>
      <c r="E31" s="6">
        <v>4.34</v>
      </c>
      <c r="K31" s="6" t="s">
        <v>115</v>
      </c>
      <c r="L31" s="7">
        <v>40498</v>
      </c>
      <c r="M31" s="7">
        <v>44454</v>
      </c>
      <c r="N31" s="7">
        <v>37065</v>
      </c>
      <c r="O31" s="7">
        <v>27802</v>
      </c>
      <c r="U31" s="6" t="s">
        <v>116</v>
      </c>
      <c r="V31" s="7">
        <v>-275534</v>
      </c>
      <c r="W31" s="7">
        <v>-422633</v>
      </c>
      <c r="X31" s="7">
        <v>-360999</v>
      </c>
      <c r="Y31" s="7">
        <v>-744257</v>
      </c>
    </row>
    <row r="32" spans="1:25" x14ac:dyDescent="0.3">
      <c r="A32" s="6" t="s">
        <v>126</v>
      </c>
      <c r="B32" s="7">
        <v>205535</v>
      </c>
      <c r="C32" s="7">
        <v>204738</v>
      </c>
      <c r="D32" s="7">
        <v>202963</v>
      </c>
      <c r="E32" s="7">
        <v>202895</v>
      </c>
      <c r="K32" s="6" t="s">
        <v>121</v>
      </c>
      <c r="L32" s="7">
        <v>53495</v>
      </c>
      <c r="M32" s="7">
        <v>48506</v>
      </c>
      <c r="N32" s="7">
        <v>41298</v>
      </c>
      <c r="O32" s="7">
        <v>64520</v>
      </c>
      <c r="U32" s="6" t="s">
        <v>119</v>
      </c>
      <c r="V32" s="7">
        <v>-275534</v>
      </c>
      <c r="W32" s="7">
        <v>-165818</v>
      </c>
      <c r="X32" s="7">
        <v>-75500</v>
      </c>
      <c r="Y32" s="7">
        <v>-756135</v>
      </c>
    </row>
    <row r="33" spans="1:25" x14ac:dyDescent="0.3">
      <c r="A33" s="6" t="s">
        <v>129</v>
      </c>
      <c r="B33" s="7">
        <v>206575</v>
      </c>
      <c r="C33" s="7">
        <v>205547</v>
      </c>
      <c r="D33" s="7">
        <v>203487</v>
      </c>
      <c r="E33" s="7">
        <v>203379</v>
      </c>
      <c r="K33" s="6" t="s">
        <v>124</v>
      </c>
      <c r="L33" s="7">
        <v>111959</v>
      </c>
      <c r="M33" s="7">
        <v>137563</v>
      </c>
      <c r="N33" s="7">
        <v>152815</v>
      </c>
      <c r="O33" s="7">
        <v>205568</v>
      </c>
      <c r="U33" s="6" t="s">
        <v>222</v>
      </c>
      <c r="V33" s="7">
        <v>7639</v>
      </c>
      <c r="W33" s="7">
        <v>-4934</v>
      </c>
      <c r="X33" s="7">
        <v>6627</v>
      </c>
      <c r="Y33" s="7">
        <v>-6241</v>
      </c>
    </row>
    <row r="34" spans="1:25" x14ac:dyDescent="0.3">
      <c r="A34" s="6" t="s">
        <v>59</v>
      </c>
      <c r="B34" s="7">
        <v>2260787</v>
      </c>
      <c r="C34" s="7">
        <v>2560867</v>
      </c>
      <c r="D34" s="7">
        <v>2898232</v>
      </c>
      <c r="E34" s="7">
        <v>1441528</v>
      </c>
      <c r="K34" s="4" t="s">
        <v>127</v>
      </c>
      <c r="L34" s="5">
        <v>7649276</v>
      </c>
      <c r="M34" s="5">
        <v>7803855</v>
      </c>
      <c r="N34" s="5">
        <v>8232207</v>
      </c>
      <c r="O34" s="5">
        <v>9104547</v>
      </c>
      <c r="U34" s="4" t="s">
        <v>134</v>
      </c>
      <c r="V34" s="5">
        <v>-1415725</v>
      </c>
      <c r="W34" s="5">
        <v>-1148251</v>
      </c>
      <c r="X34" s="5">
        <v>-1296501</v>
      </c>
      <c r="Y34" s="5">
        <v>-803357</v>
      </c>
    </row>
    <row r="35" spans="1:25" x14ac:dyDescent="0.3">
      <c r="A35" s="4" t="s">
        <v>132</v>
      </c>
      <c r="B35" s="5">
        <v>8156518</v>
      </c>
      <c r="C35" s="5">
        <v>8603684</v>
      </c>
      <c r="D35" s="5">
        <v>8274996</v>
      </c>
      <c r="E35" s="5">
        <v>10230454</v>
      </c>
      <c r="K35" s="4" t="s">
        <v>130</v>
      </c>
      <c r="L35" s="5">
        <v>3257154</v>
      </c>
      <c r="M35" s="5">
        <v>3008352</v>
      </c>
      <c r="N35" s="5">
        <v>3929495</v>
      </c>
      <c r="O35" s="5">
        <v>3011896</v>
      </c>
      <c r="U35" s="6" t="s">
        <v>137</v>
      </c>
      <c r="V35" s="7">
        <v>-1415725</v>
      </c>
      <c r="W35" s="7">
        <v>-1148251</v>
      </c>
      <c r="X35" s="7">
        <v>-1296501</v>
      </c>
      <c r="Y35" s="7">
        <v>-803357</v>
      </c>
    </row>
    <row r="36" spans="1:25" x14ac:dyDescent="0.3">
      <c r="A36" s="6" t="s">
        <v>135</v>
      </c>
      <c r="B36" s="7">
        <v>1644817</v>
      </c>
      <c r="C36" s="7">
        <v>1861787</v>
      </c>
      <c r="D36" s="7">
        <v>2221239</v>
      </c>
      <c r="E36" s="7">
        <v>883259</v>
      </c>
      <c r="K36" s="6" t="s">
        <v>133</v>
      </c>
      <c r="L36" s="7">
        <v>1777999</v>
      </c>
      <c r="M36" s="7">
        <v>1948961</v>
      </c>
      <c r="N36" s="7">
        <v>1976918</v>
      </c>
      <c r="O36" s="7">
        <v>2240440</v>
      </c>
      <c r="U36" s="6" t="s">
        <v>140</v>
      </c>
      <c r="V36" s="7">
        <v>-250374</v>
      </c>
      <c r="W36" s="7">
        <v>14727</v>
      </c>
      <c r="X36" s="7">
        <v>300647</v>
      </c>
      <c r="Y36" s="7">
        <v>279421</v>
      </c>
    </row>
    <row r="37" spans="1:25" x14ac:dyDescent="0.3">
      <c r="A37" s="6" t="s">
        <v>138</v>
      </c>
      <c r="B37" s="8">
        <v>1808072.95</v>
      </c>
      <c r="C37" s="8">
        <v>2042549.73</v>
      </c>
      <c r="D37" s="8">
        <v>2465766.5699999998</v>
      </c>
      <c r="E37" s="8">
        <v>916049.65</v>
      </c>
      <c r="K37" s="6" t="s">
        <v>223</v>
      </c>
      <c r="L37" s="7">
        <v>977268</v>
      </c>
      <c r="M37" s="7">
        <v>1115640</v>
      </c>
      <c r="N37" s="7">
        <v>1210213</v>
      </c>
      <c r="O37" s="7">
        <v>1319426</v>
      </c>
      <c r="U37" s="6" t="s">
        <v>143</v>
      </c>
      <c r="V37" s="7">
        <v>-4741</v>
      </c>
      <c r="W37" s="7">
        <v>-11322</v>
      </c>
      <c r="X37" s="7">
        <v>-306359</v>
      </c>
      <c r="Y37" s="7">
        <v>1378152</v>
      </c>
    </row>
    <row r="38" spans="1:25" x14ac:dyDescent="0.3">
      <c r="A38" s="6" t="s">
        <v>141</v>
      </c>
      <c r="B38" s="7">
        <v>2538</v>
      </c>
      <c r="C38" s="7">
        <v>9726</v>
      </c>
      <c r="D38" s="7">
        <v>8662</v>
      </c>
      <c r="E38" s="7">
        <v>34600</v>
      </c>
      <c r="K38" s="6" t="s">
        <v>136</v>
      </c>
      <c r="L38" s="7">
        <v>970558</v>
      </c>
      <c r="M38" s="7">
        <v>630536</v>
      </c>
      <c r="N38" s="7">
        <v>807918</v>
      </c>
      <c r="O38" s="7">
        <v>831204</v>
      </c>
      <c r="U38" s="6" t="s">
        <v>146</v>
      </c>
      <c r="V38" s="6">
        <v>0</v>
      </c>
      <c r="W38" s="7">
        <v>744092</v>
      </c>
      <c r="X38" s="6">
        <v>0</v>
      </c>
      <c r="Y38" s="7">
        <v>1984545</v>
      </c>
    </row>
    <row r="39" spans="1:25" x14ac:dyDescent="0.3">
      <c r="A39" s="6" t="s">
        <v>144</v>
      </c>
      <c r="B39" s="7">
        <v>140095</v>
      </c>
      <c r="C39" s="7">
        <v>161511</v>
      </c>
      <c r="D39" s="7">
        <v>174317</v>
      </c>
      <c r="E39" s="7">
        <v>224806</v>
      </c>
      <c r="K39" s="6" t="s">
        <v>240</v>
      </c>
      <c r="L39" s="7">
        <v>6710</v>
      </c>
      <c r="M39" s="7">
        <v>29457</v>
      </c>
      <c r="N39" s="7">
        <v>51036</v>
      </c>
      <c r="O39" s="7">
        <v>63725</v>
      </c>
      <c r="U39" s="6" t="s">
        <v>149</v>
      </c>
      <c r="V39" s="7">
        <v>-4741</v>
      </c>
      <c r="W39" s="7">
        <v>-755414</v>
      </c>
      <c r="X39" s="7">
        <v>-306359</v>
      </c>
      <c r="Y39" s="7">
        <v>-606393</v>
      </c>
    </row>
    <row r="40" spans="1:25" x14ac:dyDescent="0.3">
      <c r="A40" s="6" t="s">
        <v>147</v>
      </c>
      <c r="B40" s="7">
        <v>-137557</v>
      </c>
      <c r="C40" s="7">
        <v>-151785</v>
      </c>
      <c r="D40" s="7">
        <v>-165655</v>
      </c>
      <c r="E40" s="7">
        <v>-190206</v>
      </c>
      <c r="K40" s="6" t="s">
        <v>241</v>
      </c>
      <c r="L40" s="6" t="s">
        <v>64</v>
      </c>
      <c r="M40" s="6" t="s">
        <v>64</v>
      </c>
      <c r="N40" s="7">
        <v>351259</v>
      </c>
      <c r="O40" s="7">
        <v>424497</v>
      </c>
      <c r="U40" s="6" t="s">
        <v>152</v>
      </c>
      <c r="V40" s="7">
        <v>-245633</v>
      </c>
      <c r="W40" s="7">
        <v>26049</v>
      </c>
      <c r="X40" s="7">
        <v>607006</v>
      </c>
      <c r="Y40" s="7">
        <v>-1098731</v>
      </c>
    </row>
    <row r="41" spans="1:25" x14ac:dyDescent="0.3">
      <c r="A41" s="4" t="s">
        <v>150</v>
      </c>
      <c r="B41" s="5">
        <v>2057166</v>
      </c>
      <c r="C41" s="5">
        <v>2333375</v>
      </c>
      <c r="D41" s="5">
        <v>2648253</v>
      </c>
      <c r="E41" s="5">
        <v>1439014</v>
      </c>
      <c r="K41" s="6" t="s">
        <v>139</v>
      </c>
      <c r="L41" s="7">
        <v>800731</v>
      </c>
      <c r="M41" s="7">
        <v>833321</v>
      </c>
      <c r="N41" s="7">
        <v>766705</v>
      </c>
      <c r="O41" s="7">
        <v>921014</v>
      </c>
      <c r="U41" s="6" t="s">
        <v>161</v>
      </c>
      <c r="V41" s="7">
        <v>-388964</v>
      </c>
      <c r="W41" s="7">
        <v>-264913</v>
      </c>
      <c r="X41" s="7">
        <v>-494191</v>
      </c>
      <c r="Y41" s="6">
        <v>0</v>
      </c>
    </row>
    <row r="42" spans="1:25" x14ac:dyDescent="0.3">
      <c r="A42" s="4" t="s">
        <v>153</v>
      </c>
      <c r="B42" s="5">
        <v>2436125</v>
      </c>
      <c r="C42" s="5">
        <v>2753190</v>
      </c>
      <c r="D42" s="5">
        <v>3103508</v>
      </c>
      <c r="E42" s="5">
        <v>1942715</v>
      </c>
      <c r="K42" s="6" t="s">
        <v>145</v>
      </c>
      <c r="L42" s="7">
        <v>1443083</v>
      </c>
      <c r="M42" s="7">
        <v>1018997</v>
      </c>
      <c r="N42" s="7">
        <v>1906275</v>
      </c>
      <c r="O42" s="7">
        <v>717374</v>
      </c>
      <c r="U42" s="6" t="s">
        <v>164</v>
      </c>
      <c r="V42" s="7">
        <v>-388964</v>
      </c>
      <c r="W42" s="7">
        <v>-264913</v>
      </c>
      <c r="X42" s="7">
        <v>-494191</v>
      </c>
      <c r="Y42" s="6">
        <v>0</v>
      </c>
    </row>
    <row r="43" spans="1:25" x14ac:dyDescent="0.3">
      <c r="A43" s="6" t="s">
        <v>156</v>
      </c>
      <c r="B43" s="7">
        <v>5920509</v>
      </c>
      <c r="C43" s="7">
        <v>6167176</v>
      </c>
      <c r="D43" s="7">
        <v>5901375</v>
      </c>
      <c r="E43" s="7">
        <v>7769885</v>
      </c>
      <c r="K43" s="6" t="s">
        <v>148</v>
      </c>
      <c r="L43" s="7">
        <v>558235</v>
      </c>
      <c r="M43" s="7">
        <v>527561</v>
      </c>
      <c r="N43" s="7">
        <v>1145612</v>
      </c>
      <c r="O43" s="6">
        <v>0</v>
      </c>
      <c r="U43" s="6" t="s">
        <v>167</v>
      </c>
      <c r="V43" s="7">
        <v>-775030</v>
      </c>
      <c r="W43" s="7">
        <v>-889071</v>
      </c>
      <c r="X43" s="7">
        <v>-1084802</v>
      </c>
      <c r="Y43" s="7">
        <v>-1085296</v>
      </c>
    </row>
    <row r="44" spans="1:25" x14ac:dyDescent="0.3">
      <c r="A44" s="6" t="s">
        <v>159</v>
      </c>
      <c r="B44" s="7">
        <v>378959</v>
      </c>
      <c r="C44" s="7">
        <v>419815</v>
      </c>
      <c r="D44" s="7">
        <v>455255</v>
      </c>
      <c r="E44" s="7">
        <v>503701</v>
      </c>
      <c r="K44" s="6" t="s">
        <v>151</v>
      </c>
      <c r="L44" s="7">
        <v>135555</v>
      </c>
      <c r="M44" s="7">
        <v>192278</v>
      </c>
      <c r="N44" s="7">
        <v>161364</v>
      </c>
      <c r="O44" s="7">
        <v>218546</v>
      </c>
      <c r="U44" s="6" t="s">
        <v>170</v>
      </c>
      <c r="V44" s="7">
        <v>-775030</v>
      </c>
      <c r="W44" s="7">
        <v>-889071</v>
      </c>
      <c r="X44" s="7">
        <v>-1084802</v>
      </c>
      <c r="Y44" s="7">
        <v>-1085296</v>
      </c>
    </row>
    <row r="45" spans="1:25" x14ac:dyDescent="0.3">
      <c r="A45" s="6" t="s">
        <v>162</v>
      </c>
      <c r="B45" s="7">
        <v>1644817</v>
      </c>
      <c r="C45" s="7">
        <v>1861787</v>
      </c>
      <c r="D45" s="7">
        <v>2221239</v>
      </c>
      <c r="E45" s="7">
        <v>883259</v>
      </c>
      <c r="K45" s="6" t="s">
        <v>154</v>
      </c>
      <c r="L45" s="7">
        <v>749293</v>
      </c>
      <c r="M45" s="7">
        <v>299158</v>
      </c>
      <c r="N45" s="7">
        <v>599299</v>
      </c>
      <c r="O45" s="7">
        <v>498828</v>
      </c>
      <c r="U45" s="6" t="s">
        <v>228</v>
      </c>
      <c r="V45" s="7">
        <v>34158</v>
      </c>
      <c r="W45" s="7">
        <v>26015</v>
      </c>
      <c r="X45" s="7">
        <v>14663</v>
      </c>
      <c r="Y45" s="7">
        <v>21297</v>
      </c>
    </row>
    <row r="46" spans="1:25" x14ac:dyDescent="0.3">
      <c r="A46" s="6" t="s">
        <v>165</v>
      </c>
      <c r="B46" s="7">
        <v>-190275</v>
      </c>
      <c r="C46" s="7">
        <v>-210925</v>
      </c>
      <c r="D46" s="7">
        <v>-272346</v>
      </c>
      <c r="E46" s="7">
        <v>-45077</v>
      </c>
      <c r="K46" s="6" t="s">
        <v>242</v>
      </c>
      <c r="L46" s="7">
        <v>36072</v>
      </c>
      <c r="M46" s="7">
        <v>40394</v>
      </c>
      <c r="N46" s="7">
        <v>46302</v>
      </c>
      <c r="O46" s="7">
        <v>54082</v>
      </c>
      <c r="U46" s="6" t="s">
        <v>173</v>
      </c>
      <c r="V46" s="7">
        <v>-35515</v>
      </c>
      <c r="W46" s="7">
        <v>-35009</v>
      </c>
      <c r="X46" s="7">
        <v>-32818</v>
      </c>
      <c r="Y46" s="7">
        <v>-18779</v>
      </c>
    </row>
    <row r="47" spans="1:25" x14ac:dyDescent="0.3">
      <c r="A47" s="6" t="s">
        <v>168</v>
      </c>
      <c r="B47" s="7">
        <v>-190275</v>
      </c>
      <c r="C47" s="7">
        <v>-210925</v>
      </c>
      <c r="D47" s="7">
        <v>-272346</v>
      </c>
      <c r="E47" s="7">
        <v>-45077</v>
      </c>
      <c r="K47" s="4" t="s">
        <v>160</v>
      </c>
      <c r="L47" s="5">
        <v>4392122</v>
      </c>
      <c r="M47" s="5">
        <v>4795503</v>
      </c>
      <c r="N47" s="5">
        <v>4302712</v>
      </c>
      <c r="O47" s="5">
        <v>6092651</v>
      </c>
      <c r="U47" s="4" t="s">
        <v>176</v>
      </c>
      <c r="V47" s="5">
        <v>463889</v>
      </c>
      <c r="W47" s="5">
        <v>401902</v>
      </c>
      <c r="X47" s="5">
        <v>730746</v>
      </c>
      <c r="Y47" s="5">
        <v>925859</v>
      </c>
    </row>
    <row r="48" spans="1:25" x14ac:dyDescent="0.3">
      <c r="A48" s="6" t="s">
        <v>171</v>
      </c>
      <c r="B48" s="7">
        <v>2626400</v>
      </c>
      <c r="C48" s="7">
        <v>2964115</v>
      </c>
      <c r="D48" s="7">
        <v>3375854</v>
      </c>
      <c r="E48" s="7">
        <v>1987792</v>
      </c>
      <c r="K48" s="6" t="s">
        <v>163</v>
      </c>
      <c r="L48" s="7">
        <v>3274783</v>
      </c>
      <c r="M48" s="7">
        <v>3718647</v>
      </c>
      <c r="N48" s="7">
        <v>3122074</v>
      </c>
      <c r="O48" s="7">
        <v>4612183</v>
      </c>
      <c r="U48" s="6" t="s">
        <v>179</v>
      </c>
      <c r="V48" s="7">
        <v>124736</v>
      </c>
      <c r="W48" s="7">
        <v>-23737</v>
      </c>
      <c r="X48" s="7">
        <v>274781</v>
      </c>
      <c r="Y48" s="7">
        <v>195293</v>
      </c>
    </row>
    <row r="49" spans="1:25" x14ac:dyDescent="0.3">
      <c r="A49" s="6" t="s">
        <v>174</v>
      </c>
      <c r="B49" s="6">
        <v>0</v>
      </c>
      <c r="C49" s="6">
        <v>0</v>
      </c>
      <c r="D49" s="6">
        <v>0</v>
      </c>
      <c r="E49" s="6">
        <v>0</v>
      </c>
      <c r="K49" s="6" t="s">
        <v>166</v>
      </c>
      <c r="L49" s="7">
        <v>364043</v>
      </c>
      <c r="M49" s="7">
        <v>347574</v>
      </c>
      <c r="N49" s="7">
        <v>372903</v>
      </c>
      <c r="O49" s="7">
        <v>354936</v>
      </c>
      <c r="U49" s="6" t="s">
        <v>181</v>
      </c>
      <c r="V49" s="7">
        <v>9887</v>
      </c>
      <c r="W49" s="7">
        <v>-38250</v>
      </c>
      <c r="X49" s="7">
        <v>54063</v>
      </c>
      <c r="Y49" s="6">
        <v>-180</v>
      </c>
    </row>
    <row r="50" spans="1:25" x14ac:dyDescent="0.3">
      <c r="A50" s="6" t="s">
        <v>177</v>
      </c>
      <c r="B50" s="8">
        <v>-27019.05</v>
      </c>
      <c r="C50" s="8">
        <v>-30162.28</v>
      </c>
      <c r="D50" s="8">
        <v>-27818.43</v>
      </c>
      <c r="E50" s="8">
        <v>-12286.35</v>
      </c>
      <c r="K50" s="6" t="s">
        <v>169</v>
      </c>
      <c r="L50" s="7">
        <v>328403</v>
      </c>
      <c r="M50" s="7">
        <v>345698</v>
      </c>
      <c r="N50" s="7">
        <v>424243</v>
      </c>
      <c r="O50" s="7">
        <v>679540</v>
      </c>
      <c r="U50" s="6" t="s">
        <v>183</v>
      </c>
      <c r="V50" s="7">
        <v>329266</v>
      </c>
      <c r="W50" s="7">
        <v>463889</v>
      </c>
      <c r="X50" s="7">
        <v>401902</v>
      </c>
      <c r="Y50" s="7">
        <v>730746</v>
      </c>
    </row>
    <row r="51" spans="1:25" x14ac:dyDescent="0.3">
      <c r="K51" s="6" t="s">
        <v>172</v>
      </c>
      <c r="L51" s="7">
        <v>174870</v>
      </c>
      <c r="M51" s="7">
        <v>119667</v>
      </c>
      <c r="N51" s="7">
        <v>120843</v>
      </c>
      <c r="O51" s="7">
        <v>141088</v>
      </c>
      <c r="U51" s="6" t="s">
        <v>243</v>
      </c>
      <c r="V51" s="6">
        <v>0</v>
      </c>
      <c r="W51" s="6">
        <v>0</v>
      </c>
      <c r="X51" s="6" t="s">
        <v>64</v>
      </c>
      <c r="Y51" s="6" t="s">
        <v>64</v>
      </c>
    </row>
    <row r="52" spans="1:25" x14ac:dyDescent="0.3">
      <c r="K52" s="6" t="s">
        <v>175</v>
      </c>
      <c r="L52" s="7">
        <v>250023</v>
      </c>
      <c r="M52" s="7">
        <v>263917</v>
      </c>
      <c r="N52" s="7">
        <v>262649</v>
      </c>
      <c r="O52" s="7">
        <v>304904</v>
      </c>
      <c r="U52" s="6" t="s">
        <v>185</v>
      </c>
      <c r="V52" s="7">
        <v>221321</v>
      </c>
      <c r="W52" s="7">
        <v>303942</v>
      </c>
      <c r="X52" s="7">
        <v>201799</v>
      </c>
      <c r="Y52" s="7">
        <v>140616</v>
      </c>
    </row>
    <row r="53" spans="1:25" x14ac:dyDescent="0.3">
      <c r="K53" s="4" t="s">
        <v>178</v>
      </c>
      <c r="L53" s="5">
        <v>3299544</v>
      </c>
      <c r="M53" s="5">
        <v>4099086</v>
      </c>
      <c r="N53" s="5">
        <v>4714654</v>
      </c>
      <c r="O53" s="5">
        <v>4636750</v>
      </c>
      <c r="U53" s="6" t="s">
        <v>187</v>
      </c>
      <c r="V53" s="7">
        <v>131757</v>
      </c>
      <c r="W53" s="7">
        <v>160729</v>
      </c>
      <c r="X53" s="7">
        <v>179777</v>
      </c>
      <c r="Y53" s="7">
        <v>195927</v>
      </c>
    </row>
    <row r="54" spans="1:25" x14ac:dyDescent="0.3">
      <c r="K54" s="6" t="s">
        <v>229</v>
      </c>
      <c r="L54" s="7">
        <v>221553</v>
      </c>
      <c r="M54" s="7">
        <v>221553</v>
      </c>
      <c r="N54" s="7">
        <v>221553</v>
      </c>
      <c r="O54" s="7">
        <v>221553</v>
      </c>
      <c r="U54" s="6" t="s">
        <v>189</v>
      </c>
      <c r="V54" s="7">
        <v>-519481</v>
      </c>
      <c r="W54" s="7">
        <v>-771109</v>
      </c>
      <c r="X54" s="7">
        <v>-605942</v>
      </c>
      <c r="Y54" s="7">
        <v>-528219</v>
      </c>
    </row>
    <row r="55" spans="1:25" x14ac:dyDescent="0.3">
      <c r="K55" s="6" t="s">
        <v>182</v>
      </c>
      <c r="L55" s="7">
        <v>1296572</v>
      </c>
      <c r="M55" s="7">
        <v>1345580</v>
      </c>
      <c r="N55" s="7">
        <v>1377226</v>
      </c>
      <c r="O55" s="7">
        <v>1426651</v>
      </c>
      <c r="U55" s="6" t="s">
        <v>191</v>
      </c>
      <c r="V55" s="6">
        <v>0</v>
      </c>
      <c r="W55" s="7">
        <v>744092</v>
      </c>
      <c r="X55" s="6">
        <v>0</v>
      </c>
      <c r="Y55" s="7">
        <v>1984545</v>
      </c>
    </row>
    <row r="56" spans="1:25" x14ac:dyDescent="0.3">
      <c r="K56" s="6" t="s">
        <v>184</v>
      </c>
      <c r="L56" s="7">
        <v>3589781</v>
      </c>
      <c r="M56" s="7">
        <v>4562263</v>
      </c>
      <c r="N56" s="7">
        <v>5698316</v>
      </c>
      <c r="O56" s="7">
        <v>5495449</v>
      </c>
      <c r="U56" s="6" t="s">
        <v>193</v>
      </c>
      <c r="V56" s="7">
        <v>-4741</v>
      </c>
      <c r="W56" s="7">
        <v>-755414</v>
      </c>
      <c r="X56" s="7">
        <v>-306359</v>
      </c>
      <c r="Y56" s="7">
        <v>-606393</v>
      </c>
    </row>
    <row r="57" spans="1:25" x14ac:dyDescent="0.3">
      <c r="K57" s="6" t="s">
        <v>186</v>
      </c>
      <c r="L57" s="7">
        <v>1556029</v>
      </c>
      <c r="M57" s="7">
        <v>1800232</v>
      </c>
      <c r="N57" s="7">
        <v>2278551</v>
      </c>
      <c r="O57" s="7">
        <v>2259553</v>
      </c>
      <c r="U57" s="6" t="s">
        <v>195</v>
      </c>
      <c r="V57" s="7">
        <v>-388964</v>
      </c>
      <c r="W57" s="7">
        <v>-264913</v>
      </c>
      <c r="X57" s="7">
        <v>-494191</v>
      </c>
      <c r="Y57" s="6">
        <v>0</v>
      </c>
    </row>
    <row r="58" spans="1:25" x14ac:dyDescent="0.3">
      <c r="K58" s="6" t="s">
        <v>188</v>
      </c>
      <c r="L58" s="7">
        <v>-252333</v>
      </c>
      <c r="M58" s="7">
        <v>-230078</v>
      </c>
      <c r="N58" s="7">
        <v>-303890</v>
      </c>
      <c r="O58" s="7">
        <v>-247350</v>
      </c>
      <c r="U58" s="4" t="s">
        <v>197</v>
      </c>
      <c r="V58" s="5">
        <v>1808356</v>
      </c>
      <c r="W58" s="5">
        <v>1552081</v>
      </c>
      <c r="X58" s="5">
        <v>1925654</v>
      </c>
      <c r="Y58" s="5">
        <v>1749148</v>
      </c>
    </row>
    <row r="59" spans="1:25" x14ac:dyDescent="0.3">
      <c r="K59" s="4" t="s">
        <v>192</v>
      </c>
      <c r="L59" s="5">
        <v>5117981</v>
      </c>
      <c r="M59" s="5">
        <v>5125612</v>
      </c>
      <c r="N59" s="5">
        <v>5447554</v>
      </c>
      <c r="O59" s="5">
        <v>5738575</v>
      </c>
    </row>
    <row r="60" spans="1:25" x14ac:dyDescent="0.3">
      <c r="K60" s="6" t="s">
        <v>194</v>
      </c>
      <c r="L60" s="7">
        <v>4253977</v>
      </c>
      <c r="M60" s="7">
        <v>4335742</v>
      </c>
      <c r="N60" s="7">
        <v>4297603</v>
      </c>
      <c r="O60" s="7">
        <v>4403698</v>
      </c>
    </row>
    <row r="61" spans="1:25" x14ac:dyDescent="0.3">
      <c r="K61" s="6" t="s">
        <v>196</v>
      </c>
      <c r="L61" s="7">
        <v>-636748</v>
      </c>
      <c r="M61" s="7">
        <v>-96249</v>
      </c>
      <c r="N61" s="7">
        <v>-170038</v>
      </c>
      <c r="O61" s="7">
        <v>577003</v>
      </c>
    </row>
    <row r="62" spans="1:25" x14ac:dyDescent="0.3">
      <c r="K62" s="6" t="s">
        <v>198</v>
      </c>
      <c r="L62" s="7">
        <v>-1593715</v>
      </c>
      <c r="M62" s="7">
        <v>-836398</v>
      </c>
      <c r="N62" s="7">
        <v>-232052</v>
      </c>
      <c r="O62" s="7">
        <v>-1186238</v>
      </c>
    </row>
    <row r="63" spans="1:25" x14ac:dyDescent="0.3">
      <c r="K63" s="6" t="s">
        <v>199</v>
      </c>
      <c r="L63" s="7">
        <v>8017410</v>
      </c>
      <c r="M63" s="7">
        <v>8836730</v>
      </c>
      <c r="N63" s="7">
        <v>9743003</v>
      </c>
      <c r="O63" s="7">
        <v>9966307</v>
      </c>
    </row>
    <row r="64" spans="1:25" x14ac:dyDescent="0.3">
      <c r="K64" s="6" t="s">
        <v>200</v>
      </c>
      <c r="L64" s="7">
        <v>221553</v>
      </c>
      <c r="M64" s="7">
        <v>221553</v>
      </c>
      <c r="N64" s="7">
        <v>221553</v>
      </c>
      <c r="O64" s="7">
        <v>221553</v>
      </c>
    </row>
    <row r="65" spans="11:15" x14ac:dyDescent="0.3">
      <c r="K65" s="6" t="s">
        <v>201</v>
      </c>
      <c r="L65" s="7">
        <v>204964</v>
      </c>
      <c r="M65" s="7">
        <v>204392</v>
      </c>
      <c r="N65" s="7">
        <v>202383</v>
      </c>
      <c r="O65" s="7">
        <v>202839</v>
      </c>
    </row>
    <row r="66" spans="11:15" x14ac:dyDescent="0.3">
      <c r="K66" s="6" t="s">
        <v>202</v>
      </c>
      <c r="L66" s="7">
        <v>16588</v>
      </c>
      <c r="M66" s="7">
        <v>17160</v>
      </c>
      <c r="N66" s="7">
        <v>19169</v>
      </c>
      <c r="O66" s="7">
        <v>18713</v>
      </c>
    </row>
  </sheetData>
  <mergeCells count="3">
    <mergeCell ref="A1:E1"/>
    <mergeCell ref="K1:O1"/>
    <mergeCell ref="U1:Y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8"/>
  <sheetViews>
    <sheetView topLeftCell="A89" zoomScaleNormal="100" workbookViewId="0">
      <selection activeCell="G98" sqref="G98"/>
    </sheetView>
  </sheetViews>
  <sheetFormatPr defaultColWidth="8.88671875" defaultRowHeight="14.4" x14ac:dyDescent="0.3"/>
  <cols>
    <col min="1" max="1" width="39.44140625" customWidth="1"/>
    <col min="2" max="2" width="10.6640625" customWidth="1"/>
    <col min="3" max="6" width="9.109375" customWidth="1"/>
  </cols>
  <sheetData>
    <row r="1" spans="1:10" ht="16.5" customHeight="1" x14ac:dyDescent="0.3">
      <c r="A1" s="46" t="s">
        <v>244</v>
      </c>
      <c r="B1" s="46"/>
      <c r="C1" s="46"/>
      <c r="D1" s="46"/>
      <c r="E1" s="46"/>
      <c r="F1" s="46"/>
      <c r="G1" s="9"/>
      <c r="H1" s="9"/>
      <c r="I1" s="9"/>
      <c r="J1" s="9"/>
    </row>
    <row r="2" spans="1:10" x14ac:dyDescent="0.3">
      <c r="A2" s="10" t="s">
        <v>245</v>
      </c>
      <c r="B2" s="10" t="s">
        <v>15</v>
      </c>
      <c r="C2" s="11">
        <v>2022</v>
      </c>
      <c r="D2" s="11">
        <v>2023</v>
      </c>
      <c r="E2" s="11">
        <v>2024</v>
      </c>
      <c r="F2" s="11">
        <v>2025</v>
      </c>
    </row>
    <row r="3" spans="1:10" x14ac:dyDescent="0.3">
      <c r="A3" s="45" t="s">
        <v>246</v>
      </c>
      <c r="B3" s="45"/>
      <c r="C3" s="45"/>
      <c r="D3" s="45"/>
      <c r="E3" s="45"/>
      <c r="F3" s="45"/>
    </row>
    <row r="4" spans="1:10" x14ac:dyDescent="0.3">
      <c r="A4" s="12" t="s">
        <v>247</v>
      </c>
      <c r="B4" s="13" t="s">
        <v>248</v>
      </c>
      <c r="C4" s="14">
        <f>Mondelez!L4/Mondelez!L37</f>
        <v>0.60313191082421846</v>
      </c>
      <c r="D4" s="14">
        <f>Mondelez!M4/Mondelez!M37</f>
        <v>0.61552621890285597</v>
      </c>
      <c r="E4" s="14">
        <f>Mondelez!N4/Mondelez!N37</f>
        <v>0.6773748017801422</v>
      </c>
      <c r="F4" s="14">
        <f>Mondelez!O4/Mondelez!O37</f>
        <v>0.59234357848518115</v>
      </c>
    </row>
    <row r="5" spans="1:10" x14ac:dyDescent="0.3">
      <c r="A5" t="s">
        <v>249</v>
      </c>
      <c r="B5" s="15" t="s">
        <v>250</v>
      </c>
      <c r="C5" s="14">
        <f>Pepsico!L4/Pepsico!L40</f>
        <v>0.80414411050961354</v>
      </c>
      <c r="D5" s="14">
        <f>Pepsico!M4/Pepsico!M40</f>
        <v>0.85158150851581504</v>
      </c>
      <c r="E5" s="14">
        <f>Pepsico!N4/Pepsico!N40</f>
        <v>0.81893708777270424</v>
      </c>
      <c r="F5" s="14">
        <f>Pepsico!O4/Pepsico!O40</f>
        <v>0.85303992186546207</v>
      </c>
    </row>
    <row r="6" spans="1:10" x14ac:dyDescent="0.3">
      <c r="B6" s="16" t="s">
        <v>6</v>
      </c>
      <c r="C6" s="14">
        <f>Hershey!L4/Hershey!L35</f>
        <v>0.80450786177135003</v>
      </c>
      <c r="D6" s="14">
        <f>Hershey!M4/Hershey!M35</f>
        <v>0.96800607109806303</v>
      </c>
      <c r="E6" s="14">
        <f>Hershey!N4/Hershey!N35</f>
        <v>0.95672777290720568</v>
      </c>
      <c r="F6" s="14">
        <f>Hershey!O4/Hershey!O35</f>
        <v>1.191574675885223</v>
      </c>
    </row>
    <row r="7" spans="1:10" x14ac:dyDescent="0.3">
      <c r="B7" s="16"/>
      <c r="C7" s="14"/>
      <c r="D7" s="14"/>
      <c r="E7" s="14"/>
      <c r="F7" s="14"/>
    </row>
    <row r="8" spans="1:10" x14ac:dyDescent="0.3">
      <c r="A8" s="12" t="s">
        <v>251</v>
      </c>
      <c r="B8" s="13" t="s">
        <v>248</v>
      </c>
      <c r="C8" s="14">
        <f>(Mondelez!L4-Mondelez!L12)/Mondelez!L37</f>
        <v>0.40105193951347795</v>
      </c>
      <c r="D8" s="14">
        <f>(Mondelez!M4-Mondelez!M12)/Mondelez!M37</f>
        <v>0.42539315205385786</v>
      </c>
      <c r="E8" s="14">
        <f>(Mondelez!N4-Mondelez!N12)/Mondelez!N37</f>
        <v>0.48161031254795644</v>
      </c>
      <c r="F8" s="14">
        <f>(Mondelez!O4-Mondelez!O12)/Mondelez!O37</f>
        <v>0.3902305159165752</v>
      </c>
    </row>
    <row r="9" spans="1:10" x14ac:dyDescent="0.3">
      <c r="A9" t="s">
        <v>252</v>
      </c>
      <c r="B9" s="15" t="s">
        <v>250</v>
      </c>
      <c r="C9" s="14">
        <f>(Pepsico!L4-Pepsico!L12)/Pepsico!L40</f>
        <v>0.60918424491319767</v>
      </c>
      <c r="D9" s="14">
        <f>(Pepsico!M4-Pepsico!M12)/Pepsico!M40</f>
        <v>0.68303472683034727</v>
      </c>
      <c r="E9" s="14">
        <f>(Pepsico!N4-Pepsico!N12)/Pepsico!N40</f>
        <v>0.65068493150684936</v>
      </c>
      <c r="F9" s="14">
        <f>(Pepsico!O4-Pepsico!O12)/Pepsico!O40</f>
        <v>0.67464290074471978</v>
      </c>
    </row>
    <row r="10" spans="1:10" x14ac:dyDescent="0.3">
      <c r="B10" s="16" t="s">
        <v>6</v>
      </c>
      <c r="C10" s="14">
        <f>(Hershey!L4-Hershey!L10)/Hershey!L35</f>
        <v>0.44434097988612142</v>
      </c>
      <c r="D10" s="14">
        <f>(Hershey!M4-Hershey!M10)/Hershey!M35</f>
        <v>0.52224839380498023</v>
      </c>
      <c r="E10" s="14">
        <f>(Hershey!N4-Hershey!N10)/Hershey!N35</f>
        <v>0.63757887463910756</v>
      </c>
      <c r="F10" s="14">
        <f>(Hershey!O4-Hershey!O10)/Hershey!O35</f>
        <v>0.71703837051478536</v>
      </c>
    </row>
    <row r="11" spans="1:10" x14ac:dyDescent="0.3">
      <c r="B11" s="16"/>
      <c r="C11" s="14"/>
      <c r="D11" s="14"/>
      <c r="E11" s="14"/>
      <c r="F11" s="14"/>
    </row>
    <row r="12" spans="1:10" x14ac:dyDescent="0.3">
      <c r="A12" s="12" t="s">
        <v>253</v>
      </c>
      <c r="B12" s="13" t="s">
        <v>248</v>
      </c>
      <c r="C12" s="14">
        <f>Mondelez!L6/Mondelez!L37</f>
        <v>0.11493634570557648</v>
      </c>
      <c r="D12" s="14">
        <f>Mondelez!M6/Mondelez!M37</f>
        <v>9.5198022405722407E-2</v>
      </c>
      <c r="E12" s="14">
        <f>Mondelez!N6/Mondelez!N37</f>
        <v>6.9108394291268097E-2</v>
      </c>
      <c r="F12" s="14">
        <f>Mondelez!O6/Mondelez!O37</f>
        <v>9.7191730698865719E-2</v>
      </c>
    </row>
    <row r="13" spans="1:10" x14ac:dyDescent="0.3">
      <c r="A13" t="s">
        <v>254</v>
      </c>
      <c r="B13" s="15" t="s">
        <v>250</v>
      </c>
      <c r="C13" s="14">
        <f>Pepsico!L6/Pepsico!L40</f>
        <v>0.18495426544707858</v>
      </c>
      <c r="D13" s="14">
        <f>Pepsico!M6/Pepsico!M40</f>
        <v>0.30685373021139445</v>
      </c>
      <c r="E13" s="14">
        <f>Pepsico!N6/Pepsico!N40</f>
        <v>0.2696917808219178</v>
      </c>
      <c r="F13" s="14">
        <f>Pepsico!O6/Pepsico!O40</f>
        <v>0.27954462214625808</v>
      </c>
    </row>
    <row r="14" spans="1:10" x14ac:dyDescent="0.3">
      <c r="B14" s="16" t="s">
        <v>6</v>
      </c>
      <c r="C14" s="14">
        <f>Hershey!L5/Hershey!L35</f>
        <v>0.14242157417180765</v>
      </c>
      <c r="D14" s="14">
        <f>Hershey!M5/Hershey!M35</f>
        <v>0.13359540372935083</v>
      </c>
      <c r="E14" s="14">
        <f>Hershey!N5/Hershey!N35</f>
        <v>0.18596435419818577</v>
      </c>
      <c r="F14" s="14">
        <f>Hershey!O5/Hershey!O35</f>
        <v>0.3074007203435975</v>
      </c>
    </row>
    <row r="16" spans="1:10" x14ac:dyDescent="0.3">
      <c r="A16" s="45" t="s">
        <v>255</v>
      </c>
      <c r="B16" s="45"/>
      <c r="C16" s="45"/>
      <c r="D16" s="45"/>
      <c r="E16" s="45"/>
      <c r="F16" s="45"/>
    </row>
    <row r="17" spans="1:6" x14ac:dyDescent="0.3">
      <c r="A17" s="12" t="s">
        <v>9</v>
      </c>
      <c r="B17" s="13" t="s">
        <v>248</v>
      </c>
      <c r="C17" s="14">
        <f>Mondelez!B6/Mondelez!B3</f>
        <v>0.35915671831343665</v>
      </c>
      <c r="D17" s="14">
        <f>Mondelez!C6/Mondelez!C3</f>
        <v>0.38216348289649044</v>
      </c>
      <c r="E17" s="14">
        <f>Mondelez!D6/Mondelez!D3</f>
        <v>0.39123514722428032</v>
      </c>
      <c r="F17" s="14">
        <f>Mondelez!E6/Mondelez!E3</f>
        <v>0.28375327607234607</v>
      </c>
    </row>
    <row r="18" spans="1:6" x14ac:dyDescent="0.3">
      <c r="A18" t="s">
        <v>256</v>
      </c>
      <c r="B18" s="15" t="s">
        <v>250</v>
      </c>
      <c r="C18" s="14">
        <f>Pepsico!B6/Pepsico!B3</f>
        <v>0.5303268821187147</v>
      </c>
      <c r="D18" s="14">
        <f>Pepsico!C6/Pepsico!C3</f>
        <v>0.54213903860239854</v>
      </c>
      <c r="E18" s="14">
        <f>Pepsico!D6/Pepsico!D3</f>
        <v>0.54553966076599825</v>
      </c>
      <c r="F18" s="14">
        <f>Pepsico!E6/Pepsico!E3</f>
        <v>0.54148522757519302</v>
      </c>
    </row>
    <row r="19" spans="1:6" x14ac:dyDescent="0.3">
      <c r="B19" s="16" t="s">
        <v>6</v>
      </c>
      <c r="C19" s="14">
        <f>Hershey!B6/Hershey!B3</f>
        <v>0.43177445611957971</v>
      </c>
      <c r="D19" s="14">
        <f>Hershey!C6/Hershey!C3</f>
        <v>0.44763274348965049</v>
      </c>
      <c r="E19" s="14">
        <f>Hershey!D6/Hershey!D3</f>
        <v>0.47319796009074239</v>
      </c>
      <c r="F19" s="14">
        <f>Hershey!E6/Hershey!E3</f>
        <v>0.33548561069861765</v>
      </c>
    </row>
    <row r="20" spans="1:6" x14ac:dyDescent="0.3">
      <c r="B20" s="16"/>
      <c r="C20" s="14"/>
      <c r="D20" s="14"/>
      <c r="E20" s="14"/>
      <c r="F20" s="14"/>
    </row>
    <row r="21" spans="1:6" x14ac:dyDescent="0.3">
      <c r="A21" s="12" t="s">
        <v>257</v>
      </c>
      <c r="B21" s="13" t="s">
        <v>248</v>
      </c>
      <c r="C21" s="14">
        <f>Mondelez!B13/Mondelez!B3</f>
        <v>0.1205232410464821</v>
      </c>
      <c r="D21" s="14">
        <f>Mondelez!C13/Mondelez!C3</f>
        <v>0.15579187027987562</v>
      </c>
      <c r="E21" s="14">
        <f>Mondelez!D13/Mondelez!D3</f>
        <v>0.18289838368870229</v>
      </c>
      <c r="F21" s="14">
        <f>Mondelez!E13/Mondelez!E3</f>
        <v>9.3935698160209663E-2</v>
      </c>
    </row>
    <row r="22" spans="1:6" x14ac:dyDescent="0.3">
      <c r="A22" t="s">
        <v>258</v>
      </c>
      <c r="B22" s="15" t="s">
        <v>250</v>
      </c>
      <c r="C22" s="14">
        <f>Pepsico!B9/Pepsico!B3</f>
        <v>0.13145893138253542</v>
      </c>
      <c r="D22" s="14">
        <f>Pepsico!C9/Pepsico!C3</f>
        <v>0.14117042559937029</v>
      </c>
      <c r="E22" s="14">
        <f>Pepsico!D9/Pepsico!D3</f>
        <v>0.14065800074030527</v>
      </c>
      <c r="F22" s="14">
        <f>Pepsico!E9/Pepsico!E3</f>
        <v>0.143635879691243</v>
      </c>
    </row>
    <row r="23" spans="1:6" x14ac:dyDescent="0.3">
      <c r="B23" s="16" t="s">
        <v>6</v>
      </c>
      <c r="C23" s="14">
        <f>Hershey!B12/Hershey!B3</f>
        <v>0.21717172008007452</v>
      </c>
      <c r="D23" s="14">
        <f>Hershey!C12/Hershey!C3</f>
        <v>0.22940526961416541</v>
      </c>
      <c r="E23" s="14">
        <f>Hershey!D12/Hershey!D3</f>
        <v>0.26131032631531681</v>
      </c>
      <c r="F23" s="14">
        <f>Hershey!E12/Hershey!E3</f>
        <v>0.12504703839427686</v>
      </c>
    </row>
    <row r="24" spans="1:6" x14ac:dyDescent="0.3">
      <c r="B24" s="16"/>
      <c r="C24" s="14"/>
      <c r="D24" s="14"/>
      <c r="E24" s="14"/>
      <c r="F24" s="14"/>
    </row>
    <row r="25" spans="1:6" x14ac:dyDescent="0.3">
      <c r="A25" s="12" t="s">
        <v>12</v>
      </c>
      <c r="B25" s="13" t="s">
        <v>248</v>
      </c>
      <c r="C25" s="14">
        <f>Mondelez!B29/Mondelez!B3</f>
        <v>8.6264922529845064E-2</v>
      </c>
      <c r="D25" s="14">
        <f>Mondelez!C29/Mondelez!C3</f>
        <v>0.1376888049755664</v>
      </c>
      <c r="E25" s="14">
        <f>Mondelez!D29/Mondelez!D3</f>
        <v>0.12653330040339178</v>
      </c>
      <c r="F25" s="14">
        <f>Mondelez!E29/Mondelez!E3</f>
        <v>6.3601214417313229E-2</v>
      </c>
    </row>
    <row r="26" spans="1:6" x14ac:dyDescent="0.3">
      <c r="A26" t="s">
        <v>259</v>
      </c>
      <c r="B26" s="15" t="s">
        <v>250</v>
      </c>
      <c r="C26" s="14">
        <f>Pepsico!B20/Pepsico!B3</f>
        <v>0.10313454949532364</v>
      </c>
      <c r="D26" s="14">
        <f>Pepsico!C20/Pepsico!C3</f>
        <v>9.920083961036831E-2</v>
      </c>
      <c r="E26" s="14">
        <f>Pepsico!D20/Pepsico!D3</f>
        <v>0.10427417423302197</v>
      </c>
      <c r="F26" s="14">
        <f>Pepsico!E20/Pepsico!E3</f>
        <v>8.7729571466595685E-2</v>
      </c>
    </row>
    <row r="27" spans="1:6" x14ac:dyDescent="0.3">
      <c r="B27" s="16" t="s">
        <v>6</v>
      </c>
      <c r="C27" s="14">
        <f>Hershey!B25/Hershey!B3</f>
        <v>0.15786261525972872</v>
      </c>
      <c r="D27" s="14">
        <f>Hershey!C25/Hershey!C3</f>
        <v>0.16675220188245546</v>
      </c>
      <c r="E27" s="14">
        <f>Hershey!D25/Hershey!D3</f>
        <v>0.19828484655287953</v>
      </c>
      <c r="F27" s="14">
        <f>Hershey!E25/Hershey!E3</f>
        <v>7.5540154710134019E-2</v>
      </c>
    </row>
    <row r="28" spans="1:6" x14ac:dyDescent="0.3">
      <c r="B28" s="16"/>
      <c r="C28" s="14"/>
      <c r="D28" s="14"/>
      <c r="E28" s="14"/>
      <c r="F28" s="14"/>
    </row>
    <row r="29" spans="1:6" x14ac:dyDescent="0.3">
      <c r="A29" s="12" t="s">
        <v>260</v>
      </c>
      <c r="B29" s="13" t="s">
        <v>248</v>
      </c>
      <c r="C29" s="14">
        <f>Mondelez!B29/Mondelez!L3</f>
        <v>3.8181026123859978E-2</v>
      </c>
      <c r="D29" s="14">
        <f>Mondelez!C29/Mondelez!M3</f>
        <v>6.9462537294616974E-2</v>
      </c>
      <c r="E29" s="14">
        <f>Mondelez!D29/Mondelez!N3</f>
        <v>6.7316816794896123E-2</v>
      </c>
      <c r="F29" s="14">
        <f>Mondelez!E29/Mondelez!O3</f>
        <v>3.4285954089554746E-2</v>
      </c>
    </row>
    <row r="30" spans="1:6" x14ac:dyDescent="0.3">
      <c r="A30" t="s">
        <v>261</v>
      </c>
      <c r="B30" s="15" t="s">
        <v>250</v>
      </c>
      <c r="C30" s="14">
        <f>Pepsico!B20/Pepsico!L3</f>
        <v>9.6651371668456512E-2</v>
      </c>
      <c r="D30" s="14">
        <f>Pepsico!C20/Pepsico!M3</f>
        <v>9.0293049405443054E-2</v>
      </c>
      <c r="E30" s="14">
        <f>Pepsico!D20/Pepsico!N3</f>
        <v>9.6293242985110633E-2</v>
      </c>
      <c r="F30" s="14">
        <f>Pepsico!E20/Pepsico!O3</f>
        <v>7.6723246957606683E-2</v>
      </c>
    </row>
    <row r="31" spans="1:6" x14ac:dyDescent="0.3">
      <c r="B31" s="16" t="s">
        <v>6</v>
      </c>
      <c r="C31" s="14">
        <f>Hershey!B25/Hershey!L3</f>
        <v>0.15022778710399842</v>
      </c>
      <c r="D31" s="14">
        <f>Hershey!C25/Hershey!M3</f>
        <v>0.15641403246474969</v>
      </c>
      <c r="E31" s="14">
        <f>Hershey!D25/Hershey!N3</f>
        <v>0.17156583360244618</v>
      </c>
      <c r="F31" s="14">
        <f>Hershey!E25/Hershey!O3</f>
        <v>6.427770246141977E-2</v>
      </c>
    </row>
    <row r="32" spans="1:6" x14ac:dyDescent="0.3">
      <c r="B32" s="16"/>
      <c r="C32" s="14"/>
      <c r="D32" s="14"/>
      <c r="E32" s="14"/>
      <c r="F32" s="14"/>
    </row>
    <row r="33" spans="1:6" x14ac:dyDescent="0.3">
      <c r="A33" s="12" t="s">
        <v>262</v>
      </c>
      <c r="B33" s="13" t="s">
        <v>248</v>
      </c>
      <c r="C33" s="14">
        <f>Mondelez!B29/Mondelez!L53</f>
        <v>0.10092867756315008</v>
      </c>
      <c r="D33" s="14">
        <f>Mondelez!C29/Mondelez!M53</f>
        <v>0.17482196996404145</v>
      </c>
      <c r="E33" s="14">
        <f>Mondelez!D29/Mondelez!N53</f>
        <v>0.17104384598263966</v>
      </c>
      <c r="F33" s="14">
        <f>Mondelez!E29/Mondelez!O53</f>
        <v>9.4666100189254948E-2</v>
      </c>
    </row>
    <row r="34" spans="1:6" x14ac:dyDescent="0.3">
      <c r="A34" t="s">
        <v>263</v>
      </c>
      <c r="B34" s="15" t="s">
        <v>250</v>
      </c>
      <c r="C34" s="14">
        <f>Pepsico!B20/Pepsico!L56</f>
        <v>0.51583396051641295</v>
      </c>
      <c r="D34" s="14">
        <f>Pepsico!C20/Pepsico!M56</f>
        <v>0.48688093577292485</v>
      </c>
      <c r="E34" s="14">
        <f>Pepsico!D20/Pepsico!N56</f>
        <v>0.52710362665786148</v>
      </c>
      <c r="F34" s="14">
        <f>Pepsico!E20/Pepsico!O56</f>
        <v>0.40103178079524993</v>
      </c>
    </row>
    <row r="35" spans="1:6" x14ac:dyDescent="0.3">
      <c r="B35" s="16" t="s">
        <v>6</v>
      </c>
      <c r="C35" s="14">
        <f>Hershey!B25/Hershey!L53</f>
        <v>0.49849827733771696</v>
      </c>
      <c r="D35" s="14">
        <f>Hershey!C25/Hershey!M53</f>
        <v>0.4541956426383833</v>
      </c>
      <c r="E35" s="14">
        <f>Hershey!D25/Hershey!N53</f>
        <v>0.47113510344555509</v>
      </c>
      <c r="F35" s="14">
        <f>Hershey!E25/Hershey!O53</f>
        <v>0.19049096888984743</v>
      </c>
    </row>
    <row r="36" spans="1:6" x14ac:dyDescent="0.3">
      <c r="B36" s="16"/>
      <c r="C36" s="14"/>
      <c r="D36" s="14"/>
      <c r="E36" s="14"/>
      <c r="F36" s="14"/>
    </row>
    <row r="37" spans="1:6" x14ac:dyDescent="0.3">
      <c r="A37" s="12"/>
      <c r="B37" s="13"/>
      <c r="C37" s="14"/>
      <c r="D37" s="14"/>
      <c r="E37" s="14"/>
      <c r="F37" s="14"/>
    </row>
    <row r="38" spans="1:6" x14ac:dyDescent="0.3">
      <c r="A38" s="45" t="s">
        <v>264</v>
      </c>
      <c r="B38" s="45"/>
      <c r="C38" s="45"/>
      <c r="D38" s="45"/>
      <c r="E38" s="45"/>
      <c r="F38" s="45"/>
    </row>
    <row r="39" spans="1:6" x14ac:dyDescent="0.3">
      <c r="A39" s="12" t="s">
        <v>265</v>
      </c>
      <c r="B39" s="13" t="s">
        <v>248</v>
      </c>
      <c r="C39" s="14">
        <f>Mondelez!L60/Mondelez!L53</f>
        <v>0.87098811292719169</v>
      </c>
      <c r="D39" s="14">
        <f>Mondelez!M60/Mondelez!M53</f>
        <v>0.70313050835507296</v>
      </c>
      <c r="E39" s="14">
        <f>Mondelez!N60/Mondelez!N53</f>
        <v>0.68150456265301584</v>
      </c>
      <c r="F39" s="14">
        <f>Mondelez!O60/Mondelez!O53</f>
        <v>0.84214591943146266</v>
      </c>
    </row>
    <row r="40" spans="1:6" x14ac:dyDescent="0.3">
      <c r="A40" t="s">
        <v>266</v>
      </c>
      <c r="B40" s="15" t="s">
        <v>250</v>
      </c>
      <c r="C40" s="14">
        <f>Pepsico!L63/Pepsico!L56</f>
        <v>2.2899322642274069</v>
      </c>
      <c r="D40" s="14">
        <f>Pepsico!M63/Pepsico!M56</f>
        <v>2.3963620754413264</v>
      </c>
      <c r="E40" s="14">
        <f>Pepsico!N63/Pepsico!N56</f>
        <v>2.4736117990204169</v>
      </c>
      <c r="F40" s="14">
        <f>Pepsico!O63/Pepsico!O56</f>
        <v>2.4286270501776417</v>
      </c>
    </row>
    <row r="41" spans="1:6" x14ac:dyDescent="0.3">
      <c r="B41" s="16" t="s">
        <v>6</v>
      </c>
      <c r="C41" s="14">
        <f>Hershey!L59/Hershey!L53</f>
        <v>1.5511176695931317</v>
      </c>
      <c r="D41" s="14">
        <f>Hershey!M59/Hershey!M53</f>
        <v>1.2504280222469106</v>
      </c>
      <c r="E41" s="14">
        <f>Hershey!N59/Hershey!N53</f>
        <v>1.1554514923046315</v>
      </c>
      <c r="F41" s="14">
        <f>Hershey!O59/Hershey!O53</f>
        <v>1.2376287270178465</v>
      </c>
    </row>
    <row r="42" spans="1:6" x14ac:dyDescent="0.3">
      <c r="B42" s="16"/>
      <c r="C42" s="14"/>
      <c r="D42" s="14"/>
      <c r="E42" s="14"/>
      <c r="F42" s="14"/>
    </row>
    <row r="43" spans="1:6" x14ac:dyDescent="0.3">
      <c r="A43" s="12" t="s">
        <v>267</v>
      </c>
      <c r="B43" s="13" t="s">
        <v>248</v>
      </c>
      <c r="C43" s="14">
        <f>Mondelez!L60/Mondelez!L3</f>
        <v>0.32949227807366394</v>
      </c>
      <c r="D43" s="14">
        <f>Mondelez!M60/Mondelez!M3</f>
        <v>0.27937695227689763</v>
      </c>
      <c r="E43" s="14">
        <f>Mondelez!N60/Mondelez!N3</f>
        <v>0.26821612625370456</v>
      </c>
      <c r="F43" s="14">
        <f>Mondelez!O60/Mondelez!O3</f>
        <v>0.30500650467917245</v>
      </c>
    </row>
    <row r="44" spans="1:6" x14ac:dyDescent="0.3">
      <c r="A44" t="s">
        <v>268</v>
      </c>
      <c r="B44" s="15" t="s">
        <v>250</v>
      </c>
      <c r="C44" s="14">
        <f>Pepsico!L63/Pepsico!L3</f>
        <v>0.4290626661025958</v>
      </c>
      <c r="D44" s="14">
        <f>Pepsico!M63/Pepsico!M3</f>
        <v>0.4444101696601821</v>
      </c>
      <c r="E44" s="14">
        <f>Pepsico!N63/Pepsico!N3</f>
        <v>0.45188856605708427</v>
      </c>
      <c r="F44" s="14">
        <f>Pepsico!O63/Pepsico!O3</f>
        <v>0.46463188670285571</v>
      </c>
    </row>
    <row r="45" spans="1:6" x14ac:dyDescent="0.3">
      <c r="B45" s="16" t="s">
        <v>6</v>
      </c>
      <c r="C45" s="14">
        <f>Hershey!L59/Hershey!L3</f>
        <v>0.46744589827944927</v>
      </c>
      <c r="D45" s="14">
        <f>Hershey!M59/Hershey!M3</f>
        <v>0.43061727349568479</v>
      </c>
      <c r="E45" s="14">
        <f>Hershey!N59/Hershey!N3</f>
        <v>0.42076253077869608</v>
      </c>
      <c r="F45" s="14">
        <f>Hershey!O59/Hershey!O3</f>
        <v>0.41761523675676321</v>
      </c>
    </row>
    <row r="46" spans="1:6" x14ac:dyDescent="0.3">
      <c r="B46" s="16"/>
      <c r="C46" s="14"/>
      <c r="D46" s="14"/>
      <c r="E46" s="14"/>
      <c r="F46" s="14"/>
    </row>
    <row r="47" spans="1:6" x14ac:dyDescent="0.3">
      <c r="A47" s="12" t="s">
        <v>269</v>
      </c>
      <c r="B47" s="13" t="s">
        <v>248</v>
      </c>
      <c r="C47" s="14">
        <f>Mondelez!B44/Mondelez!B42</f>
        <v>8.5420560747663554</v>
      </c>
      <c r="D47" s="14">
        <f>Mondelez!C44/Mondelez!C42</f>
        <v>11.690909090909091</v>
      </c>
      <c r="E47" s="14">
        <f>Mondelez!D44/Mondelez!D42</f>
        <v>13.3248031496063</v>
      </c>
      <c r="F47" s="14">
        <f>Mondelez!E44/Mondelez!E42</f>
        <v>6.0317195325542574</v>
      </c>
    </row>
    <row r="48" spans="1:6" x14ac:dyDescent="0.3">
      <c r="A48" t="s">
        <v>270</v>
      </c>
      <c r="B48" s="15" t="s">
        <v>250</v>
      </c>
      <c r="C48" s="14">
        <f>Pepsico!B35/Pepsico!B33</f>
        <v>12.400425985090521</v>
      </c>
      <c r="D48" s="14">
        <f>Pepsico!C35/Pepsico!C33</f>
        <v>14.94017094017094</v>
      </c>
      <c r="E48" s="14">
        <f>Pepsico!D35/Pepsico!D33</f>
        <v>13.998911860718172</v>
      </c>
      <c r="F48" s="14">
        <f>Pepsico!E35/Pepsico!E33</f>
        <v>10.138269402319358</v>
      </c>
    </row>
    <row r="49" spans="1:6" x14ac:dyDescent="0.3">
      <c r="B49" s="16" t="s">
        <v>6</v>
      </c>
      <c r="C49" s="14">
        <f>Hershey!B41/Hershey!B39</f>
        <v>14.68407866090867</v>
      </c>
      <c r="D49" s="14">
        <f>Hershey!C41/Hershey!C39</f>
        <v>14.44715839788002</v>
      </c>
      <c r="E49" s="14">
        <f>Hershey!D41/Hershey!D39</f>
        <v>15.192167143766815</v>
      </c>
      <c r="F49" s="14">
        <f>Hershey!E41/Hershey!E39</f>
        <v>6.4011369803297065</v>
      </c>
    </row>
    <row r="51" spans="1:6" x14ac:dyDescent="0.3">
      <c r="A51" s="2" t="s">
        <v>271</v>
      </c>
      <c r="B51" s="13" t="s">
        <v>248</v>
      </c>
      <c r="C51">
        <f>Mondelez!L60/Mondelez!B45</f>
        <v>4.9227377703128283</v>
      </c>
      <c r="D51">
        <f>Mondelez!M60/Mondelez!C45</f>
        <v>2.6088947024198821</v>
      </c>
      <c r="E51">
        <f>Mondelez!N60/Mondelez!D45</f>
        <v>2.2762978565233554</v>
      </c>
      <c r="F51">
        <f>Mondelez!O60/Mondelez!E45</f>
        <v>4.3862401931200967</v>
      </c>
    </row>
    <row r="52" spans="1:6" x14ac:dyDescent="0.3">
      <c r="A52" t="s">
        <v>272</v>
      </c>
      <c r="B52" s="15" t="s">
        <v>250</v>
      </c>
      <c r="C52">
        <f>Pepsico!L63/Pepsico!B36</f>
        <v>2.6503618332886627</v>
      </c>
      <c r="D52">
        <f>Pepsico!M63/Pepsico!C36</f>
        <v>2.8348990732512376</v>
      </c>
      <c r="E52">
        <f>Pepsico!N63/Pepsico!D36</f>
        <v>2.6947242206235011</v>
      </c>
      <c r="F52">
        <f>Pepsico!O63/Pepsico!E36</f>
        <v>3.2105127710223251</v>
      </c>
    </row>
    <row r="53" spans="1:6" x14ac:dyDescent="0.3">
      <c r="B53" s="16" t="s">
        <v>6</v>
      </c>
      <c r="C53">
        <f>Hershey!L59/Hershey!B42</f>
        <v>2.1008696187593001</v>
      </c>
      <c r="D53">
        <f>Hershey!M59/Hershey!C42</f>
        <v>1.8616993378589926</v>
      </c>
      <c r="E53">
        <f>Hershey!N59/Hershey!D42</f>
        <v>1.7552891759905243</v>
      </c>
      <c r="F53">
        <f>Hershey!O59/Hershey!E42</f>
        <v>2.9538944209521212</v>
      </c>
    </row>
    <row r="55" spans="1:6" x14ac:dyDescent="0.3">
      <c r="A55" s="2" t="s">
        <v>273</v>
      </c>
      <c r="B55" s="13" t="s">
        <v>248</v>
      </c>
      <c r="C55">
        <f>Mondelez!L60/(Mondelez!L60+Mondelez!L54)</f>
        <v>0.46586528909199287</v>
      </c>
      <c r="D55">
        <f>Mondelez!M60/(Mondelez!M60+Mondelez!M54)</f>
        <v>0.41313669034944178</v>
      </c>
      <c r="E55">
        <f>Mondelez!N60/(Mondelez!N60+Mondelez!N54)</f>
        <v>0.40552710577432455</v>
      </c>
      <c r="F55">
        <f>Mondelez!O60/(Mondelez!O60+Mondelez!O54)</f>
        <v>0.45766340623819318</v>
      </c>
    </row>
    <row r="56" spans="1:6" x14ac:dyDescent="0.3">
      <c r="B56" s="15" t="s">
        <v>250</v>
      </c>
      <c r="C56">
        <f>Pepsico!L64/(Pepsico!L56+Pepsico!L63)</f>
        <v>0.60036602319320043</v>
      </c>
      <c r="D56">
        <f>Pepsico!M64/(Pepsico!M56+Pepsico!M63)</f>
        <v>0.54336629909317835</v>
      </c>
      <c r="E56">
        <f>Pepsico!N64/(Pepsico!N56+Pepsico!N63)</f>
        <v>0.56719846638888449</v>
      </c>
      <c r="F56">
        <f>Pepsico!O64/(Pepsico!O56+Pepsico!O63)</f>
        <v>0.56812116738587326</v>
      </c>
    </row>
    <row r="57" spans="1:6" x14ac:dyDescent="0.3">
      <c r="B57" s="16" t="s">
        <v>6</v>
      </c>
      <c r="C57">
        <f>Hershey!L59/(Hershey!L53+Hershey!L59)</f>
        <v>0.60801494501055831</v>
      </c>
      <c r="D57">
        <f>Hershey!M59/(Hershey!M53+Hershey!M59)</f>
        <v>0.55564008707927348</v>
      </c>
      <c r="E57">
        <f>Hershey!N59/(Hershey!N53+Hershey!N59)</f>
        <v>0.53606007670773914</v>
      </c>
      <c r="F57">
        <f>Hershey!O59/(Hershey!O53+Hershey!O59)</f>
        <v>0.55309833667861008</v>
      </c>
    </row>
    <row r="60" spans="1:6" x14ac:dyDescent="0.3">
      <c r="A60" s="45" t="s">
        <v>274</v>
      </c>
      <c r="B60" s="45"/>
      <c r="C60" s="45"/>
      <c r="D60" s="45"/>
      <c r="E60" s="45"/>
      <c r="F60" s="45"/>
    </row>
    <row r="61" spans="1:6" x14ac:dyDescent="0.3">
      <c r="A61" s="12" t="s">
        <v>275</v>
      </c>
      <c r="B61" s="13" t="s">
        <v>248</v>
      </c>
      <c r="C61" s="14">
        <f>Mondelez!B3/Mondelez!L3</f>
        <v>0.44260198704346482</v>
      </c>
      <c r="D61" s="14">
        <f>Mondelez!C3/Mondelez!M3</f>
        <v>0.5044893614040985</v>
      </c>
      <c r="E61" s="14">
        <f>Mondelez!D3/Mondelez!N3</f>
        <v>0.53200870111099752</v>
      </c>
      <c r="F61" s="14">
        <f>Mondelez!E3/Mondelez!O3</f>
        <v>0.53907703498538195</v>
      </c>
    </row>
    <row r="62" spans="1:6" x14ac:dyDescent="0.3">
      <c r="A62" t="s">
        <v>276</v>
      </c>
      <c r="B62" s="15" t="s">
        <v>250</v>
      </c>
      <c r="C62" s="14">
        <f>Pepsico!B3/Pepsico!L3</f>
        <v>0.93713864210788944</v>
      </c>
      <c r="D62" s="14">
        <f>Pepsico!C3/Pepsico!M3</f>
        <v>0.91020448778546192</v>
      </c>
      <c r="E62" s="14">
        <f>Pepsico!D3/Pepsico!N3</f>
        <v>0.92346205274111015</v>
      </c>
      <c r="F62" s="14">
        <f>Pepsico!E3/Pepsico!O3</f>
        <v>0.87454259350645724</v>
      </c>
    </row>
    <row r="63" spans="1:6" x14ac:dyDescent="0.3">
      <c r="B63" s="16" t="s">
        <v>6</v>
      </c>
      <c r="C63" s="14">
        <f>Hershey!B3/Hershey!L3</f>
        <v>0.95163624938577851</v>
      </c>
      <c r="D63" s="14">
        <f>Hershey!C3/Hershey!M3</f>
        <v>0.93800280115645374</v>
      </c>
      <c r="E63" s="14">
        <f>Hershey!D3/Hershey!N3</f>
        <v>0.86524934499567119</v>
      </c>
      <c r="F63" s="14">
        <f>Hershey!E3/Hershey!O3</f>
        <v>0.85090774182378859</v>
      </c>
    </row>
    <row r="64" spans="1:6" x14ac:dyDescent="0.3">
      <c r="B64" s="16"/>
      <c r="C64" s="14"/>
      <c r="D64" s="14"/>
      <c r="E64" s="14"/>
      <c r="F64" s="14"/>
    </row>
    <row r="65" spans="1:6" x14ac:dyDescent="0.3">
      <c r="A65" s="2" t="s">
        <v>277</v>
      </c>
      <c r="B65" s="13" t="s">
        <v>248</v>
      </c>
      <c r="C65" s="14">
        <f>Mondelez!B3/Mondelez!L18</f>
        <v>3.2537190082644627</v>
      </c>
      <c r="D65" s="14">
        <f>Mondelez!C3/Mondelez!M18</f>
        <v>3.4707526259998072</v>
      </c>
      <c r="E65" s="14">
        <f>Mondelez!D3/Mondelez!N18</f>
        <v>3.5559133489461359</v>
      </c>
      <c r="F65" s="14">
        <f>Mondelez!E3/Mondelez!O18</f>
        <v>3.3810317599578874</v>
      </c>
    </row>
    <row r="66" spans="1:6" x14ac:dyDescent="0.3">
      <c r="A66" t="s">
        <v>278</v>
      </c>
      <c r="B66" s="15" t="s">
        <v>250</v>
      </c>
      <c r="C66" s="14">
        <f>Pepsico!B3/Pepsico!L20</f>
        <v>3.24002400240024</v>
      </c>
      <c r="D66" s="14">
        <f>Pepsico!C3/Pepsico!M20</f>
        <v>3.0547355062783863</v>
      </c>
      <c r="E66" s="14">
        <f>Pepsico!D3/Pepsico!N20</f>
        <v>2.9261253225446784</v>
      </c>
      <c r="F66" s="14">
        <f>Pepsico!E3/Pepsico!O20</f>
        <v>2.7912332838038632</v>
      </c>
    </row>
    <row r="67" spans="1:6" x14ac:dyDescent="0.3">
      <c r="B67" s="16" t="s">
        <v>6</v>
      </c>
      <c r="C67" s="14">
        <f>Hershey!B3/Hershey!L18</f>
        <v>3.3652159084082482</v>
      </c>
      <c r="D67" s="14">
        <f>Hershey!C3/Hershey!M18</f>
        <v>3.086252029630252</v>
      </c>
      <c r="E67" s="14">
        <f>Hershey!D3/Hershey!N18</f>
        <v>2.9506101788129988</v>
      </c>
      <c r="F67" s="14">
        <f>Hershey!E3/Hershey!O18</f>
        <v>3.0331306244200644</v>
      </c>
    </row>
    <row r="68" spans="1:6" x14ac:dyDescent="0.3">
      <c r="B68" s="16"/>
      <c r="C68" s="14"/>
      <c r="D68" s="14"/>
      <c r="E68" s="14"/>
      <c r="F68" s="14"/>
    </row>
    <row r="69" spans="1:6" x14ac:dyDescent="0.3">
      <c r="A69" s="2" t="s">
        <v>279</v>
      </c>
      <c r="B69" s="13" t="s">
        <v>248</v>
      </c>
      <c r="C69" s="14">
        <f>Mondelez!B3/Mondelez!L62</f>
        <v>-4.7433734939759038</v>
      </c>
      <c r="D69" s="14">
        <f>Mondelez!C3/Mondelez!M62</f>
        <v>-4.9269493844049244</v>
      </c>
      <c r="E69" s="14">
        <f>Mondelez!D3/Mondelez!N62</f>
        <v>-5.777865863326463</v>
      </c>
      <c r="F69" s="14">
        <f>Mondelez!E3/Mondelez!O62</f>
        <v>-4.3236845057780773</v>
      </c>
    </row>
    <row r="70" spans="1:6" x14ac:dyDescent="0.3">
      <c r="A70" t="s">
        <v>280</v>
      </c>
      <c r="B70" s="15" t="s">
        <v>250</v>
      </c>
      <c r="C70" s="14">
        <f>Pepsico!B3/Pepsico!L65</f>
        <v>-16.46816622188334</v>
      </c>
      <c r="D70" s="14">
        <f>Pepsico!C3/Pepsico!M65</f>
        <v>-19.474345326804343</v>
      </c>
      <c r="E70" s="14">
        <f>Pepsico!D3/Pepsico!N65</f>
        <v>-16.086514886164622</v>
      </c>
      <c r="F70" s="14">
        <f>Pepsico!E3/Pepsico!O65</f>
        <v>-19.5067497403946</v>
      </c>
    </row>
    <row r="71" spans="1:6" x14ac:dyDescent="0.3">
      <c r="B71" s="16" t="s">
        <v>6</v>
      </c>
      <c r="C71" s="14">
        <f>Hershey!B3/Hershey!L61</f>
        <v>-16.36329285682876</v>
      </c>
      <c r="D71" s="14">
        <f>Hershey!C3/Hershey!M61</f>
        <v>-116.00112208958015</v>
      </c>
      <c r="E71" s="14">
        <f>Hershey!D3/Hershey!N61</f>
        <v>-65.88093837848011</v>
      </c>
      <c r="F71" s="14">
        <f>Hershey!E3/Hershey!O61</f>
        <v>20.264324448919677</v>
      </c>
    </row>
    <row r="72" spans="1:6" x14ac:dyDescent="0.3">
      <c r="B72" s="16"/>
      <c r="C72" s="14"/>
      <c r="D72" s="14"/>
      <c r="E72" s="14"/>
      <c r="F72" s="14"/>
    </row>
    <row r="73" spans="1:6" x14ac:dyDescent="0.3">
      <c r="A73" s="12" t="s">
        <v>281</v>
      </c>
      <c r="B73" s="13" t="s">
        <v>248</v>
      </c>
      <c r="C73" s="14">
        <f>Mondelez!B5/Mondelez!L12</f>
        <v>5.9698314108251997</v>
      </c>
      <c r="D73" s="14">
        <f>Mondelez!C5/Mondelez!M12</f>
        <v>6.1554633471645923</v>
      </c>
      <c r="E73" s="14">
        <f>Mondelez!D5/Mondelez!N12</f>
        <v>5.7967076038672589</v>
      </c>
      <c r="F73" s="14">
        <f>Mondelez!E5/Mondelez!O12</f>
        <v>6.246209549671871</v>
      </c>
    </row>
    <row r="74" spans="1:6" x14ac:dyDescent="0.3">
      <c r="A74" t="s">
        <v>282</v>
      </c>
      <c r="B74" s="15" t="s">
        <v>250</v>
      </c>
      <c r="C74" s="14">
        <f>Pepsico!B5/Pepsico!L12</f>
        <v>7.7702029873611647</v>
      </c>
      <c r="D74" s="14">
        <f>Pepsico!C5/Pepsico!M12</f>
        <v>7.8517060367454068</v>
      </c>
      <c r="E74" s="14">
        <f>Pepsico!D5/Pepsico!N12</f>
        <v>7.8673200150772713</v>
      </c>
      <c r="F74" s="14">
        <f>Pepsico!E5/Pepsico!O12</f>
        <v>7.3680068434559454</v>
      </c>
    </row>
    <row r="75" spans="1:6" x14ac:dyDescent="0.3">
      <c r="B75" s="16" t="s">
        <v>6</v>
      </c>
      <c r="C75" s="14">
        <f>Hershey!B5/Hershey!L10</f>
        <v>5.0468102553960854</v>
      </c>
      <c r="D75" s="14">
        <f>Hershey!C5/Hershey!M10</f>
        <v>4.5989518238682292</v>
      </c>
      <c r="E75" s="14">
        <f>Hershey!D5/Hershey!N10</f>
        <v>4.7056879308887529</v>
      </c>
      <c r="F75" s="14">
        <f>Hershey!E5/Hershey!O10</f>
        <v>5.4363220253362945</v>
      </c>
    </row>
    <row r="76" spans="1:6" x14ac:dyDescent="0.3">
      <c r="B76" s="16"/>
      <c r="C76" s="14"/>
      <c r="D76" s="14"/>
      <c r="E76" s="14"/>
      <c r="F76" s="14"/>
    </row>
    <row r="77" spans="1:6" x14ac:dyDescent="0.3">
      <c r="A77" s="2" t="s">
        <v>283</v>
      </c>
      <c r="B77" s="13" t="s">
        <v>248</v>
      </c>
      <c r="C77" s="17">
        <f t="shared" ref="C77:F79" si="0">365/C73</f>
        <v>61.140755053507725</v>
      </c>
      <c r="D77" s="17">
        <f t="shared" si="0"/>
        <v>59.296917131044395</v>
      </c>
      <c r="E77" s="17">
        <f t="shared" si="0"/>
        <v>62.966777857915616</v>
      </c>
      <c r="F77" s="17">
        <f t="shared" si="0"/>
        <v>58.435439460908633</v>
      </c>
    </row>
    <row r="78" spans="1:6" x14ac:dyDescent="0.3">
      <c r="A78" t="s">
        <v>284</v>
      </c>
      <c r="B78" s="15" t="s">
        <v>250</v>
      </c>
      <c r="C78" s="17">
        <f t="shared" si="0"/>
        <v>46.974319794952677</v>
      </c>
      <c r="D78" s="17">
        <f t="shared" si="0"/>
        <v>46.486712351663044</v>
      </c>
      <c r="E78" s="17">
        <f t="shared" si="0"/>
        <v>46.39445189727865</v>
      </c>
      <c r="F78" s="17">
        <f t="shared" si="0"/>
        <v>49.538499047972877</v>
      </c>
    </row>
    <row r="79" spans="1:6" x14ac:dyDescent="0.3">
      <c r="B79" s="16" t="s">
        <v>6</v>
      </c>
      <c r="C79" s="17">
        <f t="shared" si="0"/>
        <v>72.322909229594956</v>
      </c>
      <c r="D79" s="17">
        <f t="shared" si="0"/>
        <v>79.365910750722861</v>
      </c>
      <c r="E79" s="17">
        <f t="shared" si="0"/>
        <v>77.565704602740894</v>
      </c>
      <c r="F79" s="17">
        <f t="shared" si="0"/>
        <v>67.140982138088276</v>
      </c>
    </row>
    <row r="80" spans="1:6" x14ac:dyDescent="0.3">
      <c r="B80" s="16"/>
      <c r="C80" s="14"/>
      <c r="D80" s="14"/>
      <c r="E80" s="14"/>
      <c r="F80" s="14"/>
    </row>
    <row r="81" spans="1:6" x14ac:dyDescent="0.3">
      <c r="A81" s="12" t="s">
        <v>285</v>
      </c>
      <c r="B81" s="13" t="s">
        <v>248</v>
      </c>
      <c r="C81" s="14">
        <f>Mondelez!B3/Mondelez!L8</f>
        <v>10.199481865284975</v>
      </c>
      <c r="D81" s="14">
        <f>Mondelez!C3/Mondelez!M8</f>
        <v>9.9108420473307657</v>
      </c>
      <c r="E81" s="14">
        <f>Mondelez!D3/Mondelez!N8</f>
        <v>9.4065565307176051</v>
      </c>
      <c r="F81" s="14">
        <f>Mondelez!E3/Mondelez!O8</f>
        <v>9.8736869075070466</v>
      </c>
    </row>
    <row r="82" spans="1:6" x14ac:dyDescent="0.3">
      <c r="A82" t="s">
        <v>286</v>
      </c>
      <c r="B82" s="15" t="s">
        <v>250</v>
      </c>
      <c r="C82" s="14">
        <f>Pepsico!B3/Pepsico!L9</f>
        <v>10.5458984375</v>
      </c>
      <c r="D82" s="14">
        <f>Pepsico!C3/Pepsico!M9</f>
        <v>10.544207492795389</v>
      </c>
      <c r="E82" s="14">
        <f>Pepsico!D3/Pepsico!N9</f>
        <v>10.822905620360551</v>
      </c>
      <c r="F82" s="14">
        <f>Pepsico!E3/Pepsico!O9</f>
        <v>10.137614678899082</v>
      </c>
    </row>
    <row r="83" spans="1:6" x14ac:dyDescent="0.3">
      <c r="B83" s="16" t="s">
        <v>6</v>
      </c>
      <c r="C83" s="14">
        <f>Hershey!B3/Hershey!L7</f>
        <v>14.65023910191605</v>
      </c>
      <c r="D83" s="14">
        <f>Hershey!C3/Hershey!M7</f>
        <v>13.556048503127061</v>
      </c>
      <c r="E83" s="14">
        <f>Hershey!D3/Hershey!N7</f>
        <v>13.995795862579055</v>
      </c>
      <c r="F83" s="14">
        <f>Hershey!E3/Hershey!O7</f>
        <v>16.027173026549352</v>
      </c>
    </row>
    <row r="84" spans="1:6" x14ac:dyDescent="0.3">
      <c r="B84" s="16"/>
      <c r="C84" s="14"/>
      <c r="D84" s="14"/>
      <c r="E84" s="14"/>
      <c r="F84" s="14"/>
    </row>
    <row r="85" spans="1:6" x14ac:dyDescent="0.3">
      <c r="A85" s="12" t="s">
        <v>287</v>
      </c>
      <c r="B85" s="13" t="s">
        <v>248</v>
      </c>
      <c r="C85" s="17">
        <f t="shared" ref="C85:F87" si="1">365/C81</f>
        <v>35.786131572263145</v>
      </c>
      <c r="D85" s="17">
        <f t="shared" si="1"/>
        <v>36.828354064860058</v>
      </c>
      <c r="E85" s="17">
        <f t="shared" si="1"/>
        <v>38.802722208501407</v>
      </c>
      <c r="F85" s="17">
        <f t="shared" si="1"/>
        <v>36.9669408620287</v>
      </c>
    </row>
    <row r="86" spans="1:6" x14ac:dyDescent="0.3">
      <c r="A86" t="s">
        <v>288</v>
      </c>
      <c r="B86" s="15" t="s">
        <v>250</v>
      </c>
      <c r="C86" s="17">
        <f t="shared" si="1"/>
        <v>34.610612093712383</v>
      </c>
      <c r="D86" s="17">
        <f t="shared" si="1"/>
        <v>34.616162499590033</v>
      </c>
      <c r="E86" s="17">
        <f t="shared" si="1"/>
        <v>33.724769743288263</v>
      </c>
      <c r="F86" s="17">
        <f t="shared" si="1"/>
        <v>36.004524886877832</v>
      </c>
    </row>
    <row r="87" spans="1:6" x14ac:dyDescent="0.3">
      <c r="B87" s="16" t="s">
        <v>6</v>
      </c>
      <c r="C87" s="17">
        <f t="shared" si="1"/>
        <v>24.914269143379578</v>
      </c>
      <c r="D87" s="17">
        <f t="shared" si="1"/>
        <v>26.925250371876665</v>
      </c>
      <c r="E87" s="17">
        <f t="shared" si="1"/>
        <v>26.079260056651052</v>
      </c>
      <c r="F87" s="17">
        <f t="shared" si="1"/>
        <v>22.773822894116744</v>
      </c>
    </row>
    <row r="89" spans="1:6" x14ac:dyDescent="0.3">
      <c r="A89" s="45" t="s">
        <v>289</v>
      </c>
      <c r="B89" s="45"/>
      <c r="C89" s="45"/>
      <c r="D89" s="45"/>
      <c r="E89" s="45"/>
      <c r="F89" s="45"/>
    </row>
    <row r="90" spans="1:6" x14ac:dyDescent="0.3">
      <c r="A90" s="12" t="s">
        <v>290</v>
      </c>
      <c r="B90" s="13" t="s">
        <v>248</v>
      </c>
      <c r="C90" s="18">
        <f>Mondelez!B34</f>
        <v>1.97</v>
      </c>
      <c r="D90" s="18">
        <f>Mondelez!C34</f>
        <v>3.64</v>
      </c>
      <c r="E90" s="18">
        <f>Mondelez!D34</f>
        <v>3.44</v>
      </c>
      <c r="F90" s="18">
        <f>Mondelez!E34</f>
        <v>1.89</v>
      </c>
    </row>
    <row r="91" spans="1:6" x14ac:dyDescent="0.3">
      <c r="B91" s="15" t="s">
        <v>250</v>
      </c>
      <c r="C91" s="18">
        <f>Pepsico!B25</f>
        <v>6.47</v>
      </c>
      <c r="D91" s="18">
        <f>Pepsico!C25</f>
        <v>6.6</v>
      </c>
      <c r="E91" s="18">
        <f>Pepsico!D25</f>
        <v>6.98</v>
      </c>
      <c r="F91" s="18">
        <f>Pepsico!E25</f>
        <v>6.02</v>
      </c>
    </row>
    <row r="92" spans="1:6" x14ac:dyDescent="0.3">
      <c r="B92" s="16" t="s">
        <v>6</v>
      </c>
      <c r="C92" s="18">
        <f>Hershey!B30</f>
        <v>8.2200000000000006</v>
      </c>
      <c r="D92" s="18">
        <f>Hershey!C30</f>
        <v>9.31</v>
      </c>
      <c r="E92" s="18">
        <f>Hershey!D30</f>
        <v>11.22</v>
      </c>
      <c r="F92" s="18">
        <f>Hershey!E30</f>
        <v>4.46</v>
      </c>
    </row>
    <row r="93" spans="1:6" x14ac:dyDescent="0.3">
      <c r="A93" s="1"/>
      <c r="B93" s="1"/>
      <c r="C93" s="18"/>
      <c r="D93" s="18"/>
      <c r="E93" s="18"/>
      <c r="F93" s="18"/>
    </row>
    <row r="94" spans="1:6" x14ac:dyDescent="0.3">
      <c r="A94" s="12"/>
      <c r="B94" s="13"/>
      <c r="C94" s="14"/>
      <c r="D94" s="14"/>
      <c r="E94" s="14"/>
      <c r="F94" s="14"/>
    </row>
    <row r="95" spans="1:6" x14ac:dyDescent="0.3">
      <c r="B95" s="15"/>
      <c r="C95" s="14"/>
      <c r="D95" s="14"/>
      <c r="E95" s="14"/>
      <c r="F95" s="14"/>
    </row>
    <row r="96" spans="1:6" x14ac:dyDescent="0.3">
      <c r="B96" s="16"/>
      <c r="C96" s="14"/>
      <c r="D96" s="14"/>
      <c r="E96" s="14"/>
      <c r="F96" s="14"/>
    </row>
    <row r="97" spans="1:6" x14ac:dyDescent="0.3">
      <c r="B97" s="16"/>
      <c r="C97" s="14"/>
      <c r="D97" s="14"/>
      <c r="E97" s="14"/>
      <c r="F97" s="14"/>
    </row>
    <row r="98" spans="1:6" x14ac:dyDescent="0.3">
      <c r="A98" s="12"/>
      <c r="B98" s="13"/>
      <c r="C98" s="14"/>
      <c r="D98" s="14"/>
      <c r="E98" s="14"/>
      <c r="F98" s="14"/>
    </row>
    <row r="99" spans="1:6" x14ac:dyDescent="0.3">
      <c r="B99" s="15"/>
      <c r="C99" s="14"/>
      <c r="D99" s="14"/>
      <c r="E99" s="14"/>
      <c r="F99" s="14"/>
    </row>
    <row r="100" spans="1:6" x14ac:dyDescent="0.3">
      <c r="B100" s="16"/>
      <c r="C100" s="14"/>
      <c r="D100" s="14"/>
      <c r="E100" s="14"/>
      <c r="F100" s="14"/>
    </row>
    <row r="101" spans="1:6" x14ac:dyDescent="0.3">
      <c r="B101" s="16"/>
      <c r="C101" s="14"/>
      <c r="D101" s="14"/>
      <c r="E101" s="14"/>
      <c r="F101" s="14"/>
    </row>
    <row r="102" spans="1:6" x14ac:dyDescent="0.3">
      <c r="A102" s="12"/>
      <c r="B102" s="13"/>
      <c r="C102" s="14"/>
      <c r="D102" s="14"/>
      <c r="E102" s="14"/>
      <c r="F102" s="14"/>
    </row>
    <row r="103" spans="1:6" x14ac:dyDescent="0.3">
      <c r="B103" s="15"/>
      <c r="C103" s="14"/>
      <c r="D103" s="14"/>
      <c r="E103" s="14"/>
      <c r="F103" s="14"/>
    </row>
    <row r="104" spans="1:6" x14ac:dyDescent="0.3">
      <c r="B104" s="16"/>
      <c r="C104" s="14"/>
      <c r="D104" s="14"/>
      <c r="E104" s="14"/>
      <c r="F104" s="14"/>
    </row>
    <row r="105" spans="1:6" x14ac:dyDescent="0.3">
      <c r="B105" s="16"/>
      <c r="C105" s="14"/>
      <c r="D105" s="14"/>
      <c r="E105" s="14"/>
      <c r="F105" s="14"/>
    </row>
    <row r="106" spans="1:6" x14ac:dyDescent="0.3">
      <c r="A106" s="12"/>
      <c r="B106" s="13"/>
      <c r="C106" s="14"/>
      <c r="D106" s="14"/>
      <c r="E106" s="14"/>
      <c r="F106" s="14"/>
    </row>
    <row r="107" spans="1:6" x14ac:dyDescent="0.3">
      <c r="B107" s="15"/>
      <c r="C107" s="14"/>
      <c r="D107" s="14"/>
      <c r="E107" s="14"/>
      <c r="F107" s="14"/>
    </row>
    <row r="108" spans="1:6" x14ac:dyDescent="0.3">
      <c r="B108" s="16"/>
      <c r="C108" s="14"/>
      <c r="D108" s="14"/>
      <c r="E108" s="14"/>
      <c r="F108" s="14"/>
    </row>
  </sheetData>
  <mergeCells count="6">
    <mergeCell ref="A89:F89"/>
    <mergeCell ref="A1:F1"/>
    <mergeCell ref="A3:F3"/>
    <mergeCell ref="A16:F16"/>
    <mergeCell ref="A38:F38"/>
    <mergeCell ref="A60:F6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"/>
  <sheetViews>
    <sheetView zoomScale="63" zoomScaleNormal="100" workbookViewId="0">
      <selection activeCell="T16" sqref="T16"/>
    </sheetView>
  </sheetViews>
  <sheetFormatPr defaultColWidth="8.88671875" defaultRowHeight="14.4" x14ac:dyDescent="0.3"/>
  <cols>
    <col min="1" max="6" width="12.21875" style="19" customWidth="1"/>
    <col min="7" max="9" width="8.88671875" style="19"/>
    <col min="10" max="11" width="9.21875" style="19" customWidth="1"/>
    <col min="12" max="12" width="22.6640625" style="19" customWidth="1"/>
    <col min="13" max="13" width="10.6640625" style="19" customWidth="1"/>
    <col min="14" max="14" width="11.6640625" style="19" customWidth="1"/>
    <col min="15" max="15" width="8.88671875" style="20"/>
    <col min="16" max="16384" width="8.88671875" style="19"/>
  </cols>
  <sheetData>
    <row r="1" spans="1:16" ht="16.5" customHeight="1" x14ac:dyDescent="0.3">
      <c r="A1" s="48" t="s">
        <v>291</v>
      </c>
      <c r="B1" s="48"/>
      <c r="C1" s="48"/>
      <c r="D1" s="48"/>
      <c r="E1" s="48"/>
      <c r="F1" s="48"/>
      <c r="J1" s="48" t="s">
        <v>292</v>
      </c>
      <c r="K1" s="48"/>
      <c r="L1" s="48"/>
      <c r="M1" s="48"/>
      <c r="N1" s="48"/>
    </row>
    <row r="2" spans="1:16" x14ac:dyDescent="0.3">
      <c r="A2" s="47" t="s">
        <v>293</v>
      </c>
      <c r="B2" s="47"/>
      <c r="C2" s="47"/>
      <c r="D2" s="47"/>
      <c r="E2" s="47"/>
      <c r="F2" s="47"/>
      <c r="J2" s="47" t="s">
        <v>293</v>
      </c>
      <c r="K2" s="47"/>
      <c r="L2" s="47"/>
      <c r="M2" s="47"/>
      <c r="N2" s="47"/>
    </row>
    <row r="3" spans="1:16" x14ac:dyDescent="0.3">
      <c r="A3" s="10" t="s">
        <v>15</v>
      </c>
      <c r="B3" s="21">
        <v>2022</v>
      </c>
      <c r="C3" s="21">
        <v>2023</v>
      </c>
      <c r="D3" s="21">
        <v>2024</v>
      </c>
      <c r="E3" s="21">
        <v>2025</v>
      </c>
      <c r="F3" s="21" t="s">
        <v>294</v>
      </c>
      <c r="J3" s="10" t="s">
        <v>15</v>
      </c>
      <c r="K3" s="21">
        <v>2022</v>
      </c>
      <c r="L3" s="21">
        <v>2023</v>
      </c>
      <c r="M3" s="21">
        <v>2024</v>
      </c>
      <c r="N3" s="21">
        <v>2025</v>
      </c>
      <c r="O3" s="20" t="s">
        <v>295</v>
      </c>
    </row>
    <row r="4" spans="1:16" x14ac:dyDescent="0.3">
      <c r="A4" s="13" t="s">
        <v>248</v>
      </c>
      <c r="B4" s="22">
        <f>Mondelez!B3</f>
        <v>31496000</v>
      </c>
      <c r="C4" s="22">
        <f>Mondelez!C3</f>
        <v>36016000</v>
      </c>
      <c r="D4" s="22">
        <f>Mondelez!D3</f>
        <v>36441000</v>
      </c>
      <c r="E4" s="22">
        <f>Mondelez!E3</f>
        <v>38537000</v>
      </c>
      <c r="F4" s="23">
        <f>E4/B4</f>
        <v>1.2235521971043941</v>
      </c>
      <c r="J4" s="13" t="s">
        <v>248</v>
      </c>
      <c r="K4" s="13"/>
      <c r="L4" s="24">
        <f t="shared" ref="L4:N6" si="0">(C4-B4)/B4</f>
        <v>0.14351028702057403</v>
      </c>
      <c r="M4" s="24">
        <f t="shared" si="0"/>
        <v>1.1800310972900933E-2</v>
      </c>
      <c r="N4" s="24">
        <f t="shared" si="0"/>
        <v>5.7517631239537882E-2</v>
      </c>
      <c r="O4" s="25">
        <f>AVERAGE(L4:N4)</f>
        <v>7.0942743077670942E-2</v>
      </c>
      <c r="P4" s="26"/>
    </row>
    <row r="5" spans="1:16" x14ac:dyDescent="0.3">
      <c r="A5" s="15" t="s">
        <v>250</v>
      </c>
      <c r="B5" s="22">
        <f>Pepsico!B3</f>
        <v>86392000</v>
      </c>
      <c r="C5" s="22">
        <f>Pepsico!C3</f>
        <v>91471000</v>
      </c>
      <c r="D5" s="22">
        <f>Pepsico!D3</f>
        <v>91854000</v>
      </c>
      <c r="E5" s="22">
        <f>Pepsico!E3</f>
        <v>93925000</v>
      </c>
      <c r="F5" s="23">
        <f>E5/B5</f>
        <v>1.0871955736642283</v>
      </c>
      <c r="J5" s="15" t="s">
        <v>250</v>
      </c>
      <c r="K5" s="15"/>
      <c r="L5" s="24">
        <f t="shared" si="0"/>
        <v>5.8790165756088524E-2</v>
      </c>
      <c r="M5" s="24">
        <f t="shared" si="0"/>
        <v>4.1871194148965247E-3</v>
      </c>
      <c r="N5" s="24">
        <f t="shared" si="0"/>
        <v>2.2546650118666578E-2</v>
      </c>
      <c r="O5" s="25">
        <f>AVERAGE(L5:N5)</f>
        <v>2.8507978429883878E-2</v>
      </c>
    </row>
    <row r="6" spans="1:16" x14ac:dyDescent="0.3">
      <c r="A6" s="16" t="s">
        <v>6</v>
      </c>
      <c r="B6" s="22">
        <f>Hershey!B3</f>
        <v>10419294</v>
      </c>
      <c r="C6" s="22">
        <f>Hershey!C3</f>
        <v>11164992</v>
      </c>
      <c r="D6" s="22">
        <f>Hershey!D3</f>
        <v>11202263</v>
      </c>
      <c r="E6" s="22">
        <f>Hershey!E3</f>
        <v>11692576</v>
      </c>
      <c r="F6" s="23">
        <f>E6/B6</f>
        <v>1.1222042491554609</v>
      </c>
      <c r="J6" s="16" t="s">
        <v>6</v>
      </c>
      <c r="K6" s="16"/>
      <c r="L6" s="24">
        <f t="shared" si="0"/>
        <v>7.1568956591492663E-2</v>
      </c>
      <c r="M6" s="24">
        <f t="shared" si="0"/>
        <v>3.3382021232079701E-3</v>
      </c>
      <c r="N6" s="24">
        <f t="shared" si="0"/>
        <v>4.3769102725047609E-2</v>
      </c>
      <c r="O6" s="25">
        <f>AVERAGE(L6:N6)</f>
        <v>3.9558753813249414E-2</v>
      </c>
    </row>
    <row r="7" spans="1:16" x14ac:dyDescent="0.3">
      <c r="F7" s="23"/>
    </row>
    <row r="8" spans="1:16" x14ac:dyDescent="0.3">
      <c r="A8" s="47" t="s">
        <v>296</v>
      </c>
      <c r="B8" s="47"/>
      <c r="C8" s="47"/>
      <c r="D8" s="47"/>
      <c r="E8" s="47"/>
      <c r="F8" s="47"/>
      <c r="J8" s="47" t="s">
        <v>296</v>
      </c>
      <c r="K8" s="47"/>
      <c r="L8" s="47"/>
      <c r="M8" s="47"/>
      <c r="N8" s="47"/>
    </row>
    <row r="9" spans="1:16" x14ac:dyDescent="0.3">
      <c r="A9" s="10" t="s">
        <v>15</v>
      </c>
      <c r="B9" s="21">
        <v>2022</v>
      </c>
      <c r="C9" s="21">
        <v>2023</v>
      </c>
      <c r="D9" s="21">
        <v>2024</v>
      </c>
      <c r="E9" s="21">
        <v>2025</v>
      </c>
      <c r="F9" s="21" t="s">
        <v>294</v>
      </c>
      <c r="J9" s="10" t="s">
        <v>15</v>
      </c>
      <c r="K9" s="21">
        <v>2022</v>
      </c>
      <c r="L9" s="21">
        <v>2023</v>
      </c>
      <c r="M9" s="21">
        <v>2024</v>
      </c>
      <c r="N9" s="21">
        <v>2025</v>
      </c>
      <c r="O9" s="20" t="s">
        <v>295</v>
      </c>
    </row>
    <row r="10" spans="1:16" x14ac:dyDescent="0.3">
      <c r="A10" s="13" t="s">
        <v>248</v>
      </c>
      <c r="B10" s="22">
        <f>Mondelez!B29</f>
        <v>2717000</v>
      </c>
      <c r="C10" s="22">
        <f>Mondelez!C29</f>
        <v>4959000</v>
      </c>
      <c r="D10" s="22">
        <f>Mondelez!D29</f>
        <v>4611000</v>
      </c>
      <c r="E10" s="22">
        <f>Mondelez!E29</f>
        <v>2451000</v>
      </c>
      <c r="F10" s="23">
        <f>E10/B10</f>
        <v>0.90209790209790208</v>
      </c>
      <c r="J10" s="13" t="s">
        <v>248</v>
      </c>
      <c r="K10" s="13"/>
      <c r="L10" s="24">
        <f t="shared" ref="L10:N12" si="1">(C10-B10)/B10</f>
        <v>0.82517482517482521</v>
      </c>
      <c r="M10" s="24">
        <f t="shared" si="1"/>
        <v>-7.0175438596491224E-2</v>
      </c>
      <c r="N10" s="24">
        <f t="shared" si="1"/>
        <v>-0.46844502277163302</v>
      </c>
      <c r="O10" s="25">
        <f>AVERAGE(L10:N10)</f>
        <v>9.5518121268900316E-2</v>
      </c>
    </row>
    <row r="11" spans="1:16" x14ac:dyDescent="0.3">
      <c r="A11" s="15" t="s">
        <v>250</v>
      </c>
      <c r="B11" s="22">
        <f>Pepsico!B20</f>
        <v>8910000</v>
      </c>
      <c r="C11" s="22">
        <f>Pepsico!C20</f>
        <v>9074000</v>
      </c>
      <c r="D11" s="22">
        <f>Pepsico!D20</f>
        <v>9578000</v>
      </c>
      <c r="E11" s="22">
        <f>Pepsico!E20</f>
        <v>8240000</v>
      </c>
      <c r="F11" s="23">
        <f>E11/B11</f>
        <v>0.92480359147025815</v>
      </c>
      <c r="J11" s="15" t="s">
        <v>250</v>
      </c>
      <c r="K11" s="15"/>
      <c r="L11" s="24">
        <f t="shared" si="1"/>
        <v>1.840628507295174E-2</v>
      </c>
      <c r="M11" s="24">
        <f t="shared" si="1"/>
        <v>5.5543310557637206E-2</v>
      </c>
      <c r="N11" s="24">
        <f t="shared" si="1"/>
        <v>-0.13969513468365002</v>
      </c>
      <c r="O11" s="25">
        <f>AVERAGE(L11:N11)</f>
        <v>-2.1915179684353692E-2</v>
      </c>
    </row>
    <row r="12" spans="1:16" x14ac:dyDescent="0.3">
      <c r="A12" s="16" t="s">
        <v>6</v>
      </c>
      <c r="B12" s="22">
        <f>Hershey!B25</f>
        <v>1644817</v>
      </c>
      <c r="C12" s="22">
        <f>Hershey!C25</f>
        <v>1861787</v>
      </c>
      <c r="D12" s="22">
        <f>Hershey!D25</f>
        <v>2221239</v>
      </c>
      <c r="E12" s="22">
        <f>Hershey!E25</f>
        <v>883259</v>
      </c>
      <c r="F12" s="23">
        <f>E12/B12</f>
        <v>0.53699530099701065</v>
      </c>
      <c r="J12" s="16" t="s">
        <v>6</v>
      </c>
      <c r="K12" s="16"/>
      <c r="L12" s="24">
        <f t="shared" si="1"/>
        <v>0.13191133116936413</v>
      </c>
      <c r="M12" s="24">
        <f t="shared" si="1"/>
        <v>0.19306827257897924</v>
      </c>
      <c r="N12" s="24">
        <f t="shared" si="1"/>
        <v>-0.60235751308166297</v>
      </c>
      <c r="O12" s="25">
        <f>AVERAGE(L12:N12)</f>
        <v>-9.2459303111106547E-2</v>
      </c>
    </row>
    <row r="14" spans="1:16" x14ac:dyDescent="0.3">
      <c r="A14" s="47" t="s">
        <v>297</v>
      </c>
      <c r="B14" s="47"/>
      <c r="C14" s="47"/>
      <c r="D14" s="47"/>
      <c r="E14" s="47"/>
      <c r="F14" s="47"/>
      <c r="J14" s="47" t="s">
        <v>297</v>
      </c>
      <c r="K14" s="47"/>
      <c r="L14" s="47"/>
      <c r="M14" s="47"/>
      <c r="N14" s="47"/>
    </row>
    <row r="15" spans="1:16" x14ac:dyDescent="0.3">
      <c r="A15" s="10" t="s">
        <v>15</v>
      </c>
      <c r="B15" s="21">
        <v>2022</v>
      </c>
      <c r="C15" s="21">
        <v>2023</v>
      </c>
      <c r="D15" s="21">
        <v>2024</v>
      </c>
      <c r="E15" s="21">
        <v>2025</v>
      </c>
      <c r="F15" s="21" t="s">
        <v>294</v>
      </c>
      <c r="J15" s="10" t="s">
        <v>15</v>
      </c>
      <c r="K15" s="21">
        <v>2022</v>
      </c>
      <c r="L15" s="21">
        <v>2023</v>
      </c>
      <c r="M15" s="21">
        <v>2024</v>
      </c>
      <c r="N15" s="21">
        <v>2025</v>
      </c>
      <c r="O15" s="20" t="s">
        <v>295</v>
      </c>
    </row>
    <row r="16" spans="1:16" x14ac:dyDescent="0.3">
      <c r="A16" s="13" t="s">
        <v>248</v>
      </c>
      <c r="B16" s="22">
        <f>Mondelez!B45</f>
        <v>4763000</v>
      </c>
      <c r="C16" s="22">
        <f>Mondelez!C45</f>
        <v>7645000</v>
      </c>
      <c r="D16" s="22">
        <f>Mondelez!D45</f>
        <v>8071000</v>
      </c>
      <c r="E16" s="22">
        <f>Mondelez!E45</f>
        <v>4971000</v>
      </c>
      <c r="F16" s="23">
        <f>E16/B16</f>
        <v>1.0436699559101408</v>
      </c>
      <c r="J16" s="13" t="s">
        <v>248</v>
      </c>
      <c r="K16" s="13"/>
      <c r="L16" s="24">
        <f t="shared" ref="L16:N18" si="2">(C16-B16)/B16</f>
        <v>0.605080831408776</v>
      </c>
      <c r="M16" s="24">
        <f t="shared" si="2"/>
        <v>5.5722694571615432E-2</v>
      </c>
      <c r="N16" s="24">
        <f t="shared" si="2"/>
        <v>-0.3840911906826911</v>
      </c>
      <c r="O16" s="25">
        <f>AVERAGE(L16:N16)</f>
        <v>9.2237445099233428E-2</v>
      </c>
    </row>
    <row r="17" spans="1:15" x14ac:dyDescent="0.3">
      <c r="A17" s="15" t="s">
        <v>250</v>
      </c>
      <c r="B17" s="22">
        <f>Pepsico!B36</f>
        <v>14924000</v>
      </c>
      <c r="C17" s="22">
        <f>Pepsico!C36</f>
        <v>15754000</v>
      </c>
      <c r="D17" s="22">
        <f>Pepsico!D36</f>
        <v>16680000</v>
      </c>
      <c r="E17" s="22">
        <f>Pepsico!E36</f>
        <v>15543000</v>
      </c>
      <c r="F17" s="23">
        <f>E17/B17</f>
        <v>1.0414768158670598</v>
      </c>
      <c r="J17" s="15" t="s">
        <v>250</v>
      </c>
      <c r="K17" s="15"/>
      <c r="L17" s="24">
        <f t="shared" si="2"/>
        <v>5.5615116590726349E-2</v>
      </c>
      <c r="M17" s="24">
        <f t="shared" si="2"/>
        <v>5.877872286403453E-2</v>
      </c>
      <c r="N17" s="24">
        <f t="shared" si="2"/>
        <v>-6.8165467625899284E-2</v>
      </c>
      <c r="O17" s="25">
        <f>AVERAGE(L17:N17)</f>
        <v>1.5409457276287198E-2</v>
      </c>
    </row>
    <row r="18" spans="1:15" x14ac:dyDescent="0.3">
      <c r="A18" s="16" t="s">
        <v>6</v>
      </c>
      <c r="B18" s="22">
        <f>Hershey!B42</f>
        <v>2436125</v>
      </c>
      <c r="C18" s="22">
        <f>Hershey!C42</f>
        <v>2753190</v>
      </c>
      <c r="D18" s="22">
        <f>Hershey!D42</f>
        <v>3103508</v>
      </c>
      <c r="E18" s="22">
        <f>Hershey!E42</f>
        <v>1942715</v>
      </c>
      <c r="F18" s="23">
        <f>E18/B18</f>
        <v>0.79746113192057055</v>
      </c>
      <c r="J18" s="16" t="s">
        <v>6</v>
      </c>
      <c r="K18" s="16"/>
      <c r="L18" s="24">
        <f t="shared" si="2"/>
        <v>0.13015136743804198</v>
      </c>
      <c r="M18" s="24">
        <f t="shared" si="2"/>
        <v>0.12724076434971796</v>
      </c>
      <c r="N18" s="24">
        <f t="shared" si="2"/>
        <v>-0.37402610207545783</v>
      </c>
      <c r="O18" s="25">
        <f>AVERAGE(L18:N18)</f>
        <v>-3.8877990095899297E-2</v>
      </c>
    </row>
    <row r="20" spans="1:15" x14ac:dyDescent="0.3">
      <c r="A20" s="47" t="s">
        <v>298</v>
      </c>
      <c r="B20" s="47"/>
      <c r="C20" s="47"/>
      <c r="D20" s="47"/>
      <c r="E20" s="47"/>
      <c r="F20" s="47"/>
      <c r="J20" s="47" t="s">
        <v>298</v>
      </c>
      <c r="K20" s="47"/>
      <c r="L20" s="47"/>
      <c r="M20" s="47"/>
      <c r="N20" s="47"/>
    </row>
    <row r="21" spans="1:15" x14ac:dyDescent="0.3">
      <c r="A21" s="10" t="s">
        <v>15</v>
      </c>
      <c r="B21" s="21">
        <v>2022</v>
      </c>
      <c r="C21" s="21">
        <v>2023</v>
      </c>
      <c r="D21" s="21">
        <v>2024</v>
      </c>
      <c r="E21" s="21">
        <v>2025</v>
      </c>
      <c r="F21" s="21" t="s">
        <v>294</v>
      </c>
      <c r="J21" s="10" t="s">
        <v>15</v>
      </c>
      <c r="K21" s="21">
        <v>2022</v>
      </c>
      <c r="L21" s="21">
        <v>2023</v>
      </c>
      <c r="M21" s="21">
        <v>2024</v>
      </c>
      <c r="N21" s="21">
        <v>2025</v>
      </c>
      <c r="O21" s="20" t="s">
        <v>295</v>
      </c>
    </row>
    <row r="22" spans="1:15" x14ac:dyDescent="0.3">
      <c r="A22" s="13" t="s">
        <v>248</v>
      </c>
      <c r="B22" s="22">
        <f>Mondelez!L3</f>
        <v>71161000</v>
      </c>
      <c r="C22" s="22">
        <f>Mondelez!M3</f>
        <v>71391000</v>
      </c>
      <c r="D22" s="22">
        <f>Mondelez!N3</f>
        <v>68497000</v>
      </c>
      <c r="E22" s="22">
        <f>Mondelez!O3</f>
        <v>71487000</v>
      </c>
      <c r="F22" s="23">
        <f>E22/B22</f>
        <v>1.0045811610292155</v>
      </c>
      <c r="J22" s="13" t="s">
        <v>248</v>
      </c>
      <c r="K22" s="13"/>
      <c r="L22" s="24">
        <f t="shared" ref="L22:N24" si="3">(C22-B22)/B22</f>
        <v>3.2321074745998509E-3</v>
      </c>
      <c r="M22" s="24">
        <f t="shared" si="3"/>
        <v>-4.053732263170428E-2</v>
      </c>
      <c r="N22" s="24">
        <f t="shared" si="3"/>
        <v>4.3651546783070788E-2</v>
      </c>
      <c r="O22" s="25">
        <f>AVERAGE(L22:N22)</f>
        <v>2.1154438753221197E-3</v>
      </c>
    </row>
    <row r="23" spans="1:15" x14ac:dyDescent="0.3">
      <c r="A23" s="15" t="s">
        <v>250</v>
      </c>
      <c r="B23" s="22">
        <f>Pepsico!L3</f>
        <v>92187000</v>
      </c>
      <c r="C23" s="22">
        <f>Pepsico!M3</f>
        <v>100495000</v>
      </c>
      <c r="D23" s="22">
        <f>Pepsico!N3</f>
        <v>99467000</v>
      </c>
      <c r="E23" s="22">
        <f>Pepsico!O3</f>
        <v>107399000</v>
      </c>
      <c r="F23" s="23">
        <f>E23/B23</f>
        <v>1.1650124204063479</v>
      </c>
      <c r="J23" s="15" t="s">
        <v>250</v>
      </c>
      <c r="K23" s="15"/>
      <c r="L23" s="24">
        <f t="shared" si="3"/>
        <v>9.0121166758870552E-2</v>
      </c>
      <c r="M23" s="24">
        <f t="shared" si="3"/>
        <v>-1.0229364645007214E-2</v>
      </c>
      <c r="N23" s="24">
        <f t="shared" si="3"/>
        <v>7.9745041068897224E-2</v>
      </c>
      <c r="O23" s="25">
        <f>AVERAGE(L23:N23)</f>
        <v>5.3212281060920186E-2</v>
      </c>
    </row>
    <row r="24" spans="1:15" x14ac:dyDescent="0.3">
      <c r="A24" s="16" t="s">
        <v>6</v>
      </c>
      <c r="B24" s="22">
        <f>Hershey!L3</f>
        <v>10948820</v>
      </c>
      <c r="C24" s="22">
        <f>Hershey!M3</f>
        <v>11902941</v>
      </c>
      <c r="D24" s="22">
        <f>Hershey!N3</f>
        <v>12946861</v>
      </c>
      <c r="E24" s="22">
        <f>Hershey!O3</f>
        <v>13741297</v>
      </c>
      <c r="F24" s="23">
        <f>E24/B24</f>
        <v>1.2550482152414597</v>
      </c>
      <c r="J24" s="16" t="s">
        <v>6</v>
      </c>
      <c r="K24" s="16"/>
      <c r="L24" s="24">
        <f t="shared" si="3"/>
        <v>8.7143728730584666E-2</v>
      </c>
      <c r="M24" s="24">
        <f t="shared" si="3"/>
        <v>8.7702694653363403E-2</v>
      </c>
      <c r="N24" s="24">
        <f t="shared" si="3"/>
        <v>6.1361282862309248E-2</v>
      </c>
      <c r="O24" s="25">
        <f>AVERAGE(L24:N24)</f>
        <v>7.8735902082085765E-2</v>
      </c>
    </row>
    <row r="26" spans="1:15" x14ac:dyDescent="0.3">
      <c r="A26" s="47" t="s">
        <v>299</v>
      </c>
      <c r="B26" s="47"/>
      <c r="C26" s="47"/>
      <c r="D26" s="47"/>
      <c r="E26" s="47"/>
      <c r="F26" s="47"/>
      <c r="J26" s="47" t="s">
        <v>299</v>
      </c>
      <c r="K26" s="47"/>
      <c r="L26" s="47"/>
      <c r="M26" s="47"/>
      <c r="N26" s="47"/>
    </row>
    <row r="27" spans="1:15" x14ac:dyDescent="0.3">
      <c r="A27" s="10" t="s">
        <v>15</v>
      </c>
      <c r="B27" s="21">
        <v>2022</v>
      </c>
      <c r="C27" s="21">
        <v>2023</v>
      </c>
      <c r="D27" s="21">
        <v>2024</v>
      </c>
      <c r="E27" s="21">
        <v>2025</v>
      </c>
      <c r="F27" s="21" t="s">
        <v>294</v>
      </c>
      <c r="J27" s="10" t="s">
        <v>15</v>
      </c>
      <c r="K27" s="21">
        <v>2022</v>
      </c>
      <c r="L27" s="21">
        <v>2023</v>
      </c>
      <c r="M27" s="21">
        <v>2024</v>
      </c>
      <c r="N27" s="21">
        <v>2025</v>
      </c>
      <c r="O27" s="20" t="s">
        <v>295</v>
      </c>
    </row>
    <row r="28" spans="1:15" x14ac:dyDescent="0.3">
      <c r="A28" s="13" t="s">
        <v>248</v>
      </c>
      <c r="B28" s="22">
        <f>Mondelez!L36</f>
        <v>44241000</v>
      </c>
      <c r="C28" s="22">
        <f>Mondelez!M36</f>
        <v>43025000</v>
      </c>
      <c r="D28" s="22">
        <f>Mondelez!N36</f>
        <v>41539000</v>
      </c>
      <c r="E28" s="22">
        <f>Mondelez!O36</f>
        <v>45596000</v>
      </c>
      <c r="F28" s="23">
        <f>E28/B28</f>
        <v>1.0306276982889175</v>
      </c>
      <c r="J28" s="13" t="s">
        <v>248</v>
      </c>
      <c r="K28" s="13"/>
      <c r="L28" s="24">
        <f t="shared" ref="L28:N30" si="4">(C28-B28)/B28</f>
        <v>-2.7485816324224137E-2</v>
      </c>
      <c r="M28" s="24">
        <f t="shared" si="4"/>
        <v>-3.4538059267867516E-2</v>
      </c>
      <c r="N28" s="24">
        <f t="shared" si="4"/>
        <v>9.7667252461542162E-2</v>
      </c>
      <c r="O28" s="25">
        <f>AVERAGE(L28:N28)</f>
        <v>1.188112562315017E-2</v>
      </c>
    </row>
    <row r="29" spans="1:15" x14ac:dyDescent="0.3">
      <c r="A29" s="15" t="s">
        <v>250</v>
      </c>
      <c r="B29" s="27">
        <f>Pepsico!L39</f>
        <v>74914000</v>
      </c>
      <c r="C29" s="27">
        <f>Pepsico!M39</f>
        <v>81858000</v>
      </c>
      <c r="D29" s="27">
        <f>Pepsico!N39</f>
        <v>81296000</v>
      </c>
      <c r="E29" s="27">
        <f>Pepsico!O39</f>
        <v>86852000</v>
      </c>
      <c r="F29" s="23">
        <f>E29/B29</f>
        <v>1.1593560616173213</v>
      </c>
      <c r="J29" s="15" t="s">
        <v>250</v>
      </c>
      <c r="K29" s="15"/>
      <c r="L29" s="24">
        <f t="shared" si="4"/>
        <v>9.2692954587927492E-2</v>
      </c>
      <c r="M29" s="24">
        <f t="shared" si="4"/>
        <v>-6.8655476556964499E-3</v>
      </c>
      <c r="N29" s="24">
        <f t="shared" si="4"/>
        <v>6.8342845896477072E-2</v>
      </c>
      <c r="O29" s="25">
        <f>AVERAGE(L29:N29)</f>
        <v>5.1390084276236037E-2</v>
      </c>
    </row>
    <row r="30" spans="1:15" x14ac:dyDescent="0.3">
      <c r="A30" s="16" t="s">
        <v>6</v>
      </c>
      <c r="B30" s="22">
        <f>Hershey!L34</f>
        <v>7649276</v>
      </c>
      <c r="C30" s="22">
        <f>Hershey!M34</f>
        <v>7803855</v>
      </c>
      <c r="D30" s="22">
        <f>Hershey!N34</f>
        <v>8232207</v>
      </c>
      <c r="E30" s="22">
        <f>Hershey!O34</f>
        <v>9104547</v>
      </c>
      <c r="F30" s="23">
        <f>E30/B30</f>
        <v>1.1902495085809428</v>
      </c>
      <c r="J30" s="16" t="s">
        <v>6</v>
      </c>
      <c r="K30" s="16"/>
      <c r="L30" s="24">
        <f t="shared" si="4"/>
        <v>2.0208317754516897E-2</v>
      </c>
      <c r="M30" s="24">
        <f t="shared" si="4"/>
        <v>5.4889794851390755E-2</v>
      </c>
      <c r="N30" s="24">
        <f t="shared" si="4"/>
        <v>0.10596672313997935</v>
      </c>
      <c r="O30" s="25">
        <f>AVERAGE(L30:N30)</f>
        <v>6.0354945248628999E-2</v>
      </c>
    </row>
    <row r="32" spans="1:15" x14ac:dyDescent="0.3">
      <c r="A32" s="47" t="s">
        <v>300</v>
      </c>
      <c r="B32" s="47"/>
      <c r="C32" s="47"/>
      <c r="D32" s="47"/>
      <c r="E32" s="47"/>
      <c r="F32" s="47"/>
      <c r="J32" s="47" t="s">
        <v>300</v>
      </c>
      <c r="K32" s="47"/>
      <c r="L32" s="47"/>
      <c r="M32" s="47"/>
      <c r="N32" s="47"/>
    </row>
    <row r="33" spans="1:15" x14ac:dyDescent="0.3">
      <c r="A33" s="10" t="s">
        <v>15</v>
      </c>
      <c r="B33" s="21">
        <v>2022</v>
      </c>
      <c r="C33" s="21">
        <v>2023</v>
      </c>
      <c r="D33" s="21">
        <v>2024</v>
      </c>
      <c r="E33" s="21">
        <v>2025</v>
      </c>
      <c r="F33" s="21" t="s">
        <v>294</v>
      </c>
      <c r="J33" s="10" t="s">
        <v>15</v>
      </c>
      <c r="K33" s="21">
        <v>2022</v>
      </c>
      <c r="L33" s="21">
        <v>2023</v>
      </c>
      <c r="M33" s="21">
        <v>2024</v>
      </c>
      <c r="N33" s="21">
        <v>2025</v>
      </c>
      <c r="O33" s="20" t="s">
        <v>295</v>
      </c>
    </row>
    <row r="34" spans="1:15" x14ac:dyDescent="0.3">
      <c r="A34" s="13" t="s">
        <v>248</v>
      </c>
      <c r="B34" s="22">
        <f>Mondelez!B29</f>
        <v>2717000</v>
      </c>
      <c r="C34" s="22">
        <f>Mondelez!C29</f>
        <v>4959000</v>
      </c>
      <c r="D34" s="22">
        <f>Mondelez!D29</f>
        <v>4611000</v>
      </c>
      <c r="E34" s="22">
        <f>Mondelez!E29</f>
        <v>2451000</v>
      </c>
      <c r="F34" s="23">
        <f>E34/B34</f>
        <v>0.90209790209790208</v>
      </c>
      <c r="J34" s="13" t="s">
        <v>248</v>
      </c>
      <c r="K34" s="13"/>
      <c r="L34" s="24">
        <f t="shared" ref="L34:N36" si="5">(C34-B34)/B34</f>
        <v>0.82517482517482521</v>
      </c>
      <c r="M34" s="24">
        <f t="shared" si="5"/>
        <v>-7.0175438596491224E-2</v>
      </c>
      <c r="N34" s="24">
        <f t="shared" si="5"/>
        <v>-0.46844502277163302</v>
      </c>
      <c r="O34" s="25">
        <f>AVERAGE(L34:N34)</f>
        <v>9.5518121268900316E-2</v>
      </c>
    </row>
    <row r="35" spans="1:15" x14ac:dyDescent="0.3">
      <c r="A35" s="15" t="s">
        <v>250</v>
      </c>
      <c r="B35" s="22">
        <f>Pepsico!B20</f>
        <v>8910000</v>
      </c>
      <c r="C35" s="22">
        <f>Pepsico!C20</f>
        <v>9074000</v>
      </c>
      <c r="D35" s="22">
        <f>Pepsico!D20</f>
        <v>9578000</v>
      </c>
      <c r="E35" s="22">
        <f>Pepsico!E20</f>
        <v>8240000</v>
      </c>
      <c r="F35" s="23">
        <f>E35/B35</f>
        <v>0.92480359147025815</v>
      </c>
      <c r="J35" s="15" t="s">
        <v>250</v>
      </c>
      <c r="K35" s="15"/>
      <c r="L35" s="24">
        <f t="shared" si="5"/>
        <v>1.840628507295174E-2</v>
      </c>
      <c r="M35" s="24">
        <f t="shared" si="5"/>
        <v>5.5543310557637206E-2</v>
      </c>
      <c r="N35" s="24">
        <f t="shared" si="5"/>
        <v>-0.13969513468365002</v>
      </c>
      <c r="O35" s="25">
        <f>AVERAGE(L35:N35)</f>
        <v>-2.1915179684353692E-2</v>
      </c>
    </row>
    <row r="36" spans="1:15" x14ac:dyDescent="0.3">
      <c r="A36" s="16" t="s">
        <v>6</v>
      </c>
      <c r="B36" s="22">
        <f>Hershey!B25</f>
        <v>1644817</v>
      </c>
      <c r="C36" s="22">
        <f>Hershey!C25</f>
        <v>1861787</v>
      </c>
      <c r="D36" s="22">
        <f>Hershey!D25</f>
        <v>2221239</v>
      </c>
      <c r="E36" s="22">
        <f>Hershey!E25</f>
        <v>883259</v>
      </c>
      <c r="F36" s="23">
        <f>E36/B36</f>
        <v>0.53699530099701065</v>
      </c>
      <c r="J36" s="16" t="s">
        <v>6</v>
      </c>
      <c r="K36" s="16"/>
      <c r="L36" s="24">
        <f t="shared" si="5"/>
        <v>0.13191133116936413</v>
      </c>
      <c r="M36" s="24">
        <f t="shared" si="5"/>
        <v>0.19306827257897924</v>
      </c>
      <c r="N36" s="24">
        <f t="shared" si="5"/>
        <v>-0.60235751308166297</v>
      </c>
      <c r="O36" s="25">
        <f>AVERAGE(L36:N36)</f>
        <v>-9.2459303111106547E-2</v>
      </c>
    </row>
    <row r="38" spans="1:15" x14ac:dyDescent="0.3">
      <c r="A38" s="47" t="s">
        <v>301</v>
      </c>
      <c r="B38" s="47"/>
      <c r="C38" s="47"/>
      <c r="D38" s="47"/>
      <c r="E38" s="47"/>
      <c r="F38" s="47"/>
      <c r="J38" s="47" t="s">
        <v>301</v>
      </c>
      <c r="K38" s="47"/>
      <c r="L38" s="47"/>
      <c r="M38" s="47"/>
      <c r="N38" s="47"/>
    </row>
    <row r="39" spans="1:15" x14ac:dyDescent="0.3">
      <c r="A39" s="10" t="s">
        <v>15</v>
      </c>
      <c r="B39" s="21">
        <v>2022</v>
      </c>
      <c r="C39" s="21">
        <v>2023</v>
      </c>
      <c r="D39" s="21">
        <v>2024</v>
      </c>
      <c r="E39" s="21">
        <v>2025</v>
      </c>
      <c r="F39" s="21" t="s">
        <v>294</v>
      </c>
      <c r="J39" s="10" t="s">
        <v>15</v>
      </c>
      <c r="K39" s="21">
        <v>2022</v>
      </c>
      <c r="L39" s="21">
        <v>2023</v>
      </c>
      <c r="M39" s="21">
        <v>2024</v>
      </c>
      <c r="N39" s="21">
        <v>2025</v>
      </c>
      <c r="O39" s="20" t="s">
        <v>295</v>
      </c>
    </row>
    <row r="40" spans="1:15" x14ac:dyDescent="0.3">
      <c r="A40" s="13" t="s">
        <v>248</v>
      </c>
      <c r="B40" s="22">
        <f>Mondelez!V3</f>
        <v>3908000</v>
      </c>
      <c r="C40" s="22">
        <f>Mondelez!W3</f>
        <v>4714000</v>
      </c>
      <c r="D40" s="22">
        <f>Mondelez!X3</f>
        <v>4910000</v>
      </c>
      <c r="E40" s="22">
        <f>Mondelez!Y3</f>
        <v>4514000</v>
      </c>
      <c r="F40" s="23">
        <f>E40/B40</f>
        <v>1.1550665301944729</v>
      </c>
      <c r="J40" s="13" t="s">
        <v>248</v>
      </c>
      <c r="K40" s="13"/>
      <c r="L40" s="24">
        <f t="shared" ref="L40:N42" si="6">(C40-B40)/B40</f>
        <v>0.20624360286591606</v>
      </c>
      <c r="M40" s="24">
        <f t="shared" si="6"/>
        <v>4.1578277471361898E-2</v>
      </c>
      <c r="N40" s="24">
        <f t="shared" si="6"/>
        <v>-8.0651731160896134E-2</v>
      </c>
      <c r="O40" s="25">
        <f>AVERAGE(L40:N40)</f>
        <v>5.5723383058793936E-2</v>
      </c>
    </row>
    <row r="41" spans="1:15" x14ac:dyDescent="0.3">
      <c r="A41" s="15" t="s">
        <v>250</v>
      </c>
      <c r="B41" s="22">
        <f>Pepsico!V3</f>
        <v>10811000</v>
      </c>
      <c r="C41" s="22">
        <f>Pepsico!W3</f>
        <v>13442000</v>
      </c>
      <c r="D41" s="22">
        <f>Pepsico!X3</f>
        <v>12507000</v>
      </c>
      <c r="E41" s="22">
        <f>Pepsico!Y3</f>
        <v>12087000</v>
      </c>
      <c r="F41" s="23">
        <f>E41/B41</f>
        <v>1.1180279345111461</v>
      </c>
      <c r="J41" s="15" t="s">
        <v>250</v>
      </c>
      <c r="K41" s="15"/>
      <c r="L41" s="24">
        <f t="shared" si="6"/>
        <v>0.24336324114327998</v>
      </c>
      <c r="M41" s="24">
        <f t="shared" si="6"/>
        <v>-6.9558101472995085E-2</v>
      </c>
      <c r="N41" s="24">
        <f t="shared" si="6"/>
        <v>-3.3581194531062605E-2</v>
      </c>
      <c r="O41" s="25">
        <f>AVERAGE(L41:N41)</f>
        <v>4.6741315046407418E-2</v>
      </c>
    </row>
    <row r="42" spans="1:15" x14ac:dyDescent="0.3">
      <c r="A42" s="16" t="s">
        <v>6</v>
      </c>
      <c r="B42" s="22">
        <f>Hershey!V3</f>
        <v>2327837</v>
      </c>
      <c r="C42" s="22">
        <f>Hershey!W3</f>
        <v>2323190</v>
      </c>
      <c r="D42" s="22">
        <f>Hershey!X3</f>
        <v>2531596</v>
      </c>
      <c r="E42" s="22">
        <f>Hershey!Y3</f>
        <v>2277367</v>
      </c>
      <c r="F42" s="23">
        <f>E42/B42</f>
        <v>0.97831892868787629</v>
      </c>
      <c r="J42" s="16" t="s">
        <v>6</v>
      </c>
      <c r="K42" s="16"/>
      <c r="L42" s="24">
        <f t="shared" si="6"/>
        <v>-1.9962737940843796E-3</v>
      </c>
      <c r="M42" s="24">
        <f t="shared" si="6"/>
        <v>8.970682552869115E-2</v>
      </c>
      <c r="N42" s="24">
        <f t="shared" si="6"/>
        <v>-0.10042242127100849</v>
      </c>
      <c r="O42" s="25">
        <f>AVERAGE(L42:N42)</f>
        <v>-4.2372898454672387E-3</v>
      </c>
    </row>
    <row r="44" spans="1:15" x14ac:dyDescent="0.3">
      <c r="A44" s="47" t="s">
        <v>302</v>
      </c>
      <c r="B44" s="47"/>
      <c r="C44" s="47"/>
      <c r="D44" s="47"/>
      <c r="E44" s="47"/>
      <c r="F44" s="47"/>
      <c r="J44" s="47" t="s">
        <v>302</v>
      </c>
      <c r="K44" s="47"/>
      <c r="L44" s="47"/>
      <c r="M44" s="47"/>
      <c r="N44" s="47"/>
    </row>
    <row r="45" spans="1:15" x14ac:dyDescent="0.3">
      <c r="A45" s="10" t="s">
        <v>15</v>
      </c>
      <c r="B45" s="21">
        <v>2022</v>
      </c>
      <c r="C45" s="21">
        <v>2023</v>
      </c>
      <c r="D45" s="21">
        <v>2024</v>
      </c>
      <c r="E45" s="21">
        <v>2025</v>
      </c>
      <c r="F45" s="21" t="s">
        <v>294</v>
      </c>
      <c r="J45" s="10" t="s">
        <v>15</v>
      </c>
      <c r="K45" s="21">
        <v>2022</v>
      </c>
      <c r="L45" s="21">
        <v>2023</v>
      </c>
      <c r="M45" s="21">
        <v>2024</v>
      </c>
      <c r="N45" s="21">
        <v>2025</v>
      </c>
      <c r="O45" s="20" t="s">
        <v>295</v>
      </c>
    </row>
    <row r="46" spans="1:15" x14ac:dyDescent="0.3">
      <c r="A46" s="13" t="s">
        <v>248</v>
      </c>
      <c r="B46" s="22">
        <f>Mondelez!V27</f>
        <v>-4888000</v>
      </c>
      <c r="C46" s="22">
        <f>Mondelez!W27</f>
        <v>2812000</v>
      </c>
      <c r="D46" s="22">
        <f>Mondelez!X27</f>
        <v>526000</v>
      </c>
      <c r="E46" s="22">
        <f>Mondelez!Y27</f>
        <v>-1196000</v>
      </c>
      <c r="F46" s="23">
        <f>E46/B46</f>
        <v>0.24468085106382978</v>
      </c>
      <c r="J46" s="13" t="s">
        <v>248</v>
      </c>
      <c r="K46" s="13"/>
      <c r="L46" s="24">
        <f t="shared" ref="L46:N48" si="7">(C46-B46)/B46</f>
        <v>-1.5752864157119477</v>
      </c>
      <c r="M46" s="24">
        <f t="shared" si="7"/>
        <v>-0.81294452347083923</v>
      </c>
      <c r="N46" s="24">
        <f t="shared" si="7"/>
        <v>-3.2737642585551332</v>
      </c>
      <c r="O46" s="25">
        <f>AVERAGE(L46:N46)</f>
        <v>-1.8873317325793064</v>
      </c>
    </row>
    <row r="47" spans="1:15" x14ac:dyDescent="0.3">
      <c r="A47" s="15" t="s">
        <v>250</v>
      </c>
      <c r="B47" s="22">
        <f>Pepsico!V27</f>
        <v>-2430000</v>
      </c>
      <c r="C47" s="22">
        <f>Pepsico!W27</f>
        <v>-5495000</v>
      </c>
      <c r="D47" s="22">
        <f>Pepsico!X27</f>
        <v>-5472000</v>
      </c>
      <c r="E47" s="22">
        <f>Pepsico!Y27</f>
        <v>-6879000</v>
      </c>
      <c r="F47" s="23">
        <f>E47/B47</f>
        <v>2.8308641975308642</v>
      </c>
      <c r="J47" s="15" t="s">
        <v>250</v>
      </c>
      <c r="K47" s="15"/>
      <c r="L47" s="24">
        <f t="shared" si="7"/>
        <v>1.2613168724279835</v>
      </c>
      <c r="M47" s="24">
        <f t="shared" si="7"/>
        <v>-4.1856232939035485E-3</v>
      </c>
      <c r="N47" s="24">
        <f t="shared" si="7"/>
        <v>0.25712719298245612</v>
      </c>
      <c r="O47" s="25">
        <f>AVERAGE(L47:N47)</f>
        <v>0.50475281403884542</v>
      </c>
    </row>
    <row r="48" spans="1:15" x14ac:dyDescent="0.3">
      <c r="A48" s="16" t="s">
        <v>6</v>
      </c>
      <c r="B48" s="22">
        <f>Hershey!V26</f>
        <v>-787376</v>
      </c>
      <c r="C48" s="22">
        <f>Hershey!W26</f>
        <v>-1198676</v>
      </c>
      <c r="D48" s="22">
        <f>Hershey!X26</f>
        <v>-960314</v>
      </c>
      <c r="E48" s="22">
        <f>Hershey!Y26</f>
        <v>-1278717</v>
      </c>
      <c r="F48" s="23">
        <f>E48/B48</f>
        <v>1.6240233382780274</v>
      </c>
      <c r="J48" s="16" t="s">
        <v>6</v>
      </c>
      <c r="K48" s="16"/>
      <c r="L48" s="24">
        <f t="shared" si="7"/>
        <v>0.52236796651155226</v>
      </c>
      <c r="M48" s="24">
        <f t="shared" si="7"/>
        <v>-0.19885440269096905</v>
      </c>
      <c r="N48" s="24">
        <f t="shared" si="7"/>
        <v>0.33156134347723765</v>
      </c>
      <c r="O48" s="25">
        <f>AVERAGE(L48:N48)</f>
        <v>0.21835830243260693</v>
      </c>
    </row>
    <row r="50" spans="1:15" x14ac:dyDescent="0.3">
      <c r="A50" s="47" t="s">
        <v>303</v>
      </c>
      <c r="B50" s="47"/>
      <c r="C50" s="47"/>
      <c r="D50" s="47"/>
      <c r="E50" s="47"/>
      <c r="F50" s="47"/>
      <c r="J50" s="47" t="s">
        <v>303</v>
      </c>
      <c r="K50" s="47"/>
      <c r="L50" s="47"/>
      <c r="M50" s="47"/>
      <c r="N50" s="47"/>
    </row>
    <row r="51" spans="1:15" x14ac:dyDescent="0.3">
      <c r="A51" s="10" t="s">
        <v>15</v>
      </c>
      <c r="B51" s="21">
        <v>2022</v>
      </c>
      <c r="C51" s="21">
        <v>2023</v>
      </c>
      <c r="D51" s="21">
        <v>2024</v>
      </c>
      <c r="E51" s="21">
        <v>2025</v>
      </c>
      <c r="F51" s="21" t="s">
        <v>294</v>
      </c>
      <c r="J51" s="10" t="s">
        <v>15</v>
      </c>
      <c r="K51" s="21">
        <v>2022</v>
      </c>
      <c r="L51" s="21">
        <v>2023</v>
      </c>
      <c r="M51" s="21">
        <v>2024</v>
      </c>
      <c r="N51" s="21">
        <v>2025</v>
      </c>
      <c r="O51" s="20" t="s">
        <v>295</v>
      </c>
    </row>
    <row r="52" spans="1:15" x14ac:dyDescent="0.3">
      <c r="A52" s="13" t="s">
        <v>248</v>
      </c>
      <c r="B52" s="22">
        <f>Mondelez!V38</f>
        <v>-456000</v>
      </c>
      <c r="C52" s="22">
        <f>Mondelez!W38</f>
        <v>-7558000</v>
      </c>
      <c r="D52" s="22">
        <f>Mondelez!X38</f>
        <v>-5780000</v>
      </c>
      <c r="E52" s="22">
        <f>Mondelez!Y38</f>
        <v>-2759000</v>
      </c>
      <c r="F52" s="23">
        <f>E52/B52</f>
        <v>6.0504385964912277</v>
      </c>
      <c r="J52" s="13" t="s">
        <v>248</v>
      </c>
      <c r="K52" s="13"/>
      <c r="L52" s="24">
        <f t="shared" ref="L52:N54" si="8">(C52-B52)/B52</f>
        <v>15.574561403508772</v>
      </c>
      <c r="M52" s="24">
        <f t="shared" si="8"/>
        <v>-0.23524741995236836</v>
      </c>
      <c r="N52" s="24">
        <f t="shared" si="8"/>
        <v>-0.52266435986159165</v>
      </c>
      <c r="O52" s="25">
        <f>AVERAGE(L52:N52)</f>
        <v>4.9388832078982707</v>
      </c>
    </row>
    <row r="53" spans="1:15" x14ac:dyDescent="0.3">
      <c r="A53" s="15" t="s">
        <v>250</v>
      </c>
      <c r="B53" s="22">
        <f>Pepsico!V39</f>
        <v>-8523000</v>
      </c>
      <c r="C53" s="22">
        <f>Pepsico!W39</f>
        <v>-3009000</v>
      </c>
      <c r="D53" s="22">
        <f>Pepsico!X39</f>
        <v>-7556000</v>
      </c>
      <c r="E53" s="22">
        <f>Pepsico!Y39</f>
        <v>-4979000</v>
      </c>
      <c r="F53" s="23">
        <f>E53/B53</f>
        <v>0.58418397277953771</v>
      </c>
      <c r="J53" s="15" t="s">
        <v>250</v>
      </c>
      <c r="K53" s="15"/>
      <c r="L53" s="24">
        <f t="shared" si="8"/>
        <v>-0.64695529743048219</v>
      </c>
      <c r="M53" s="24">
        <f t="shared" si="8"/>
        <v>1.5111332668660684</v>
      </c>
      <c r="N53" s="24">
        <f t="shared" si="8"/>
        <v>-0.34105346744309156</v>
      </c>
      <c r="O53" s="25">
        <f>AVERAGE(L53:N53)</f>
        <v>0.1743748339974982</v>
      </c>
    </row>
    <row r="54" spans="1:15" x14ac:dyDescent="0.3">
      <c r="A54" s="16" t="s">
        <v>6</v>
      </c>
      <c r="B54" s="22">
        <f>Hershey!V34</f>
        <v>-1415725</v>
      </c>
      <c r="C54" s="22">
        <f>Hershey!W34</f>
        <v>-1148251</v>
      </c>
      <c r="D54" s="22">
        <f>Hershey!X34</f>
        <v>-1296501</v>
      </c>
      <c r="E54" s="22">
        <f>Hershey!Y34</f>
        <v>-803357</v>
      </c>
      <c r="F54" s="23">
        <f>E54/B54</f>
        <v>0.5674527185717565</v>
      </c>
      <c r="J54" s="16" t="s">
        <v>6</v>
      </c>
      <c r="K54" s="16"/>
      <c r="L54" s="24">
        <f t="shared" si="8"/>
        <v>-0.18893075985802327</v>
      </c>
      <c r="M54" s="24">
        <f t="shared" si="8"/>
        <v>0.12910940203840449</v>
      </c>
      <c r="N54" s="24">
        <f t="shared" si="8"/>
        <v>-0.38036530631291454</v>
      </c>
      <c r="O54" s="25">
        <f>AVERAGE(L54:N54)</f>
        <v>-0.14672888804417777</v>
      </c>
    </row>
  </sheetData>
  <mergeCells count="20">
    <mergeCell ref="A1:F1"/>
    <mergeCell ref="J1:N1"/>
    <mergeCell ref="A2:F2"/>
    <mergeCell ref="J2:N2"/>
    <mergeCell ref="A8:F8"/>
    <mergeCell ref="J8:N8"/>
    <mergeCell ref="A14:F14"/>
    <mergeCell ref="J14:N14"/>
    <mergeCell ref="A20:F20"/>
    <mergeCell ref="J20:N20"/>
    <mergeCell ref="A26:F26"/>
    <mergeCell ref="J26:N26"/>
    <mergeCell ref="A50:F50"/>
    <mergeCell ref="J50:N50"/>
    <mergeCell ref="A32:F32"/>
    <mergeCell ref="J32:N32"/>
    <mergeCell ref="A38:F38"/>
    <mergeCell ref="J38:N38"/>
    <mergeCell ref="A44:F44"/>
    <mergeCell ref="J44:N4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"/>
  <sheetViews>
    <sheetView zoomScale="50" zoomScaleNormal="100" workbookViewId="0">
      <selection activeCell="G7" sqref="G7"/>
    </sheetView>
  </sheetViews>
  <sheetFormatPr defaultColWidth="8.5546875" defaultRowHeight="14.4" x14ac:dyDescent="0.3"/>
  <cols>
    <col min="1" max="1" width="33" style="20" customWidth="1"/>
    <col min="2" max="8" width="15" style="19" customWidth="1"/>
    <col min="9" max="9" width="3" style="19" customWidth="1"/>
    <col min="10" max="12" width="15" style="19" customWidth="1"/>
    <col min="13" max="16384" width="8.5546875" style="19"/>
  </cols>
  <sheetData>
    <row r="1" spans="1:12" ht="30" customHeight="1" x14ac:dyDescent="0.3">
      <c r="A1" s="50" t="s">
        <v>311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9.5" customHeight="1" x14ac:dyDescent="0.3">
      <c r="A2" s="43" t="s">
        <v>312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34" t="s">
        <v>304</v>
      </c>
      <c r="B3" s="34" t="s">
        <v>4</v>
      </c>
      <c r="C3" s="34" t="s">
        <v>5</v>
      </c>
      <c r="D3" s="34" t="s">
        <v>6</v>
      </c>
    </row>
    <row r="4" spans="1:12" x14ac:dyDescent="0.3">
      <c r="A4" s="39" t="s">
        <v>305</v>
      </c>
      <c r="B4" s="36">
        <v>0.05</v>
      </c>
      <c r="C4" s="36">
        <v>0.03</v>
      </c>
      <c r="D4" s="36">
        <v>0.04</v>
      </c>
    </row>
    <row r="5" spans="1:12" x14ac:dyDescent="0.3">
      <c r="A5" s="39" t="s">
        <v>306</v>
      </c>
      <c r="B5" s="36">
        <v>0.64600000000000002</v>
      </c>
      <c r="C5" s="36">
        <v>0.46</v>
      </c>
      <c r="D5" s="36">
        <v>0.57799999999999996</v>
      </c>
    </row>
    <row r="6" spans="1:12" x14ac:dyDescent="0.3">
      <c r="A6" s="39" t="s">
        <v>11</v>
      </c>
      <c r="B6" s="36">
        <v>0.13800000000000001</v>
      </c>
      <c r="C6" s="36">
        <v>0.13900000000000001</v>
      </c>
      <c r="D6" s="36">
        <v>0.20799999999999999</v>
      </c>
    </row>
    <row r="7" spans="1:12" x14ac:dyDescent="0.3">
      <c r="A7" s="39" t="s">
        <v>12</v>
      </c>
      <c r="B7" s="36">
        <v>0.104</v>
      </c>
      <c r="C7" s="36">
        <v>9.9000000000000005E-2</v>
      </c>
      <c r="D7" s="36">
        <v>0.15</v>
      </c>
    </row>
    <row r="8" spans="1:12" x14ac:dyDescent="0.3">
      <c r="A8" s="39" t="s">
        <v>307</v>
      </c>
      <c r="B8" s="36">
        <v>3.5000000000000003E-2</v>
      </c>
      <c r="C8" s="36">
        <v>4.1000000000000002E-2</v>
      </c>
      <c r="D8" s="36">
        <v>3.9E-2</v>
      </c>
      <c r="E8" s="21"/>
    </row>
    <row r="9" spans="1:12" x14ac:dyDescent="0.3">
      <c r="A9" s="39" t="s">
        <v>308</v>
      </c>
      <c r="B9" s="37">
        <v>1.99</v>
      </c>
      <c r="C9" s="37">
        <v>1.1000000000000001</v>
      </c>
      <c r="D9" s="37">
        <v>1.1100000000000001</v>
      </c>
      <c r="E9" s="28"/>
    </row>
    <row r="10" spans="1:12" x14ac:dyDescent="0.3">
      <c r="A10" s="10"/>
      <c r="B10" s="28"/>
      <c r="C10" s="28"/>
      <c r="D10" s="28"/>
      <c r="E10" s="28"/>
    </row>
    <row r="11" spans="1:12" ht="24" customHeight="1" x14ac:dyDescent="0.3">
      <c r="A11" s="49" t="s">
        <v>309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4.25" customHeight="1" x14ac:dyDescent="0.3">
      <c r="A12" s="10"/>
      <c r="B12" s="51" t="s">
        <v>4</v>
      </c>
      <c r="C12" s="51"/>
      <c r="D12" s="51"/>
      <c r="E12" s="29"/>
      <c r="F12" s="43" t="s">
        <v>5</v>
      </c>
      <c r="G12" s="43"/>
      <c r="H12" s="43"/>
      <c r="J12" s="43" t="s">
        <v>6</v>
      </c>
      <c r="K12" s="43"/>
      <c r="L12" s="43"/>
    </row>
    <row r="13" spans="1:12" x14ac:dyDescent="0.3">
      <c r="A13" s="39" t="s">
        <v>27</v>
      </c>
      <c r="B13" s="38" t="s">
        <v>16</v>
      </c>
      <c r="C13" s="38" t="s">
        <v>17</v>
      </c>
      <c r="D13" s="38" t="s">
        <v>18</v>
      </c>
      <c r="E13" s="28"/>
      <c r="F13" s="34" t="s">
        <v>16</v>
      </c>
      <c r="G13" s="34" t="s">
        <v>17</v>
      </c>
      <c r="H13" s="34" t="s">
        <v>18</v>
      </c>
      <c r="J13" s="34" t="s">
        <v>16</v>
      </c>
      <c r="K13" s="34" t="s">
        <v>17</v>
      </c>
      <c r="L13" s="34" t="s">
        <v>18</v>
      </c>
    </row>
    <row r="14" spans="1:12" x14ac:dyDescent="0.3">
      <c r="A14" s="39" t="s">
        <v>28</v>
      </c>
      <c r="B14" s="40">
        <f>Mondelez!E3*(1+$B$4)</f>
        <v>40463850</v>
      </c>
      <c r="C14" s="40">
        <f>B14*(1+$B$4)</f>
        <v>42487042.5</v>
      </c>
      <c r="D14" s="40">
        <f>C14*(1+$B$4)</f>
        <v>44611394.625</v>
      </c>
      <c r="E14" s="28"/>
      <c r="F14" s="40">
        <f>Pepsico!E3*(1+$C$4)</f>
        <v>96742750</v>
      </c>
      <c r="G14" s="40">
        <f>F14*(1+$C$4)</f>
        <v>99645032.5</v>
      </c>
      <c r="H14" s="40">
        <f>G14*(1+$C$4)</f>
        <v>102634383.47500001</v>
      </c>
      <c r="J14" s="40">
        <f>Hershey!E3*(1+$D$4)</f>
        <v>12160279.040000001</v>
      </c>
      <c r="K14" s="40">
        <f>J14*(1+$D$4)</f>
        <v>12646690.201600002</v>
      </c>
      <c r="L14" s="40">
        <f>K14*(1+$D$4)</f>
        <v>13152557.809664004</v>
      </c>
    </row>
    <row r="15" spans="1:12" x14ac:dyDescent="0.3">
      <c r="A15" s="39" t="s">
        <v>34</v>
      </c>
      <c r="B15" s="40">
        <f>B14*$B$5</f>
        <v>26139647.100000001</v>
      </c>
      <c r="C15" s="40">
        <f>C14*$B$5</f>
        <v>27446629.455000002</v>
      </c>
      <c r="D15" s="40">
        <f>D14*$B$5</f>
        <v>28818960.927750003</v>
      </c>
      <c r="E15" s="28"/>
      <c r="F15" s="40">
        <f>F14*$C$5</f>
        <v>44501665</v>
      </c>
      <c r="G15" s="40">
        <f>G14*$C$5</f>
        <v>45836714.950000003</v>
      </c>
      <c r="H15" s="40">
        <f>H14*$C$5</f>
        <v>47211816.398500003</v>
      </c>
      <c r="J15" s="40">
        <f>J14*$D$5</f>
        <v>7028641.2851200001</v>
      </c>
      <c r="K15" s="40">
        <f>K14*$D$5</f>
        <v>7309786.936524801</v>
      </c>
      <c r="L15" s="40">
        <f>L14*$D$5</f>
        <v>7602178.4139857935</v>
      </c>
    </row>
    <row r="16" spans="1:12" x14ac:dyDescent="0.3">
      <c r="A16" s="39" t="s">
        <v>37</v>
      </c>
      <c r="B16" s="40">
        <f>B14-B15</f>
        <v>14324202.899999999</v>
      </c>
      <c r="C16" s="40">
        <f>C14-C15</f>
        <v>15040413.044999998</v>
      </c>
      <c r="D16" s="40">
        <f>D14-D15</f>
        <v>15792433.697249997</v>
      </c>
      <c r="F16" s="40">
        <f>F14-F15</f>
        <v>52241085</v>
      </c>
      <c r="G16" s="40">
        <f>G14-G15</f>
        <v>53808317.549999997</v>
      </c>
      <c r="H16" s="40">
        <f>H14-H15</f>
        <v>55422567.076500006</v>
      </c>
      <c r="J16" s="40">
        <f>J14-J15</f>
        <v>5131637.7548800008</v>
      </c>
      <c r="K16" s="40">
        <f>K14-K15</f>
        <v>5336903.2650752012</v>
      </c>
      <c r="L16" s="40">
        <f>L14-L15</f>
        <v>5550379.3956782101</v>
      </c>
    </row>
    <row r="17" spans="1:12" x14ac:dyDescent="0.3">
      <c r="A17" s="39" t="s">
        <v>56</v>
      </c>
      <c r="B17" s="40">
        <f>B14*$B$6</f>
        <v>5584011.3000000007</v>
      </c>
      <c r="C17" s="40">
        <f>C14*$B$6</f>
        <v>5863211.8650000002</v>
      </c>
      <c r="D17" s="40">
        <f>D14*$B$6</f>
        <v>6156372.4582500001</v>
      </c>
      <c r="F17" s="40">
        <f>F14*$C$6</f>
        <v>13447242.250000002</v>
      </c>
      <c r="G17" s="40">
        <f>G14*$C$6</f>
        <v>13850659.517500002</v>
      </c>
      <c r="H17" s="40">
        <f>H14*$C$6</f>
        <v>14266179.303025002</v>
      </c>
      <c r="J17" s="40">
        <f>J14*$D$6</f>
        <v>2529338.0403200001</v>
      </c>
      <c r="K17" s="40">
        <f>K14*$D$6</f>
        <v>2630511.5619328003</v>
      </c>
      <c r="L17" s="40">
        <f>L14*$D$6</f>
        <v>2735732.0244101128</v>
      </c>
    </row>
    <row r="18" spans="1:12" x14ac:dyDescent="0.3">
      <c r="A18" s="39" t="s">
        <v>105</v>
      </c>
      <c r="B18" s="40">
        <f>B14*$B$7</f>
        <v>4208240.3999999994</v>
      </c>
      <c r="C18" s="40">
        <f>C14*$B$7</f>
        <v>4418652.42</v>
      </c>
      <c r="D18" s="40">
        <f>D14*$B$7</f>
        <v>4639585.0410000002</v>
      </c>
      <c r="F18" s="40">
        <f>F14*$C$7</f>
        <v>9577532.25</v>
      </c>
      <c r="G18" s="40">
        <f>G14*$C$7</f>
        <v>9864858.2175000012</v>
      </c>
      <c r="H18" s="40">
        <f>H14*$C$7</f>
        <v>10160803.964025002</v>
      </c>
      <c r="J18" s="40">
        <f>J14*$D$7</f>
        <v>1824041.8560000001</v>
      </c>
      <c r="K18" s="40">
        <f>K14*$D$7</f>
        <v>1897003.5302400002</v>
      </c>
      <c r="L18" s="40">
        <f>L14*$D$7</f>
        <v>1972883.6714496005</v>
      </c>
    </row>
    <row r="19" spans="1:12" x14ac:dyDescent="0.3">
      <c r="A19" s="39" t="s">
        <v>153</v>
      </c>
      <c r="B19" s="40">
        <f>B17+B14*$B$8</f>
        <v>7000246.0500000007</v>
      </c>
      <c r="C19" s="40">
        <f>C17+C14*$B$8</f>
        <v>7350258.3525</v>
      </c>
      <c r="D19" s="40">
        <f>D17+D14*$B$8</f>
        <v>7717771.2701249998</v>
      </c>
      <c r="F19" s="40">
        <f>F17+F14*$C$8</f>
        <v>17413695</v>
      </c>
      <c r="G19" s="40">
        <f>G17+G14*$C$8</f>
        <v>17936105.850000001</v>
      </c>
      <c r="H19" s="40">
        <f>H17+H14*$C$8</f>
        <v>18474189.025500003</v>
      </c>
      <c r="J19" s="40">
        <f>J17+J14*$D$8</f>
        <v>3003588.9228800004</v>
      </c>
      <c r="K19" s="40">
        <f>K17+K14*$D$8</f>
        <v>3123732.4797952003</v>
      </c>
      <c r="L19" s="40">
        <f>L17+L14*$D$8</f>
        <v>3248681.7789870091</v>
      </c>
    </row>
    <row r="20" spans="1:12" x14ac:dyDescent="0.3">
      <c r="B20" s="30"/>
      <c r="C20" s="31"/>
    </row>
    <row r="21" spans="1:12" x14ac:dyDescent="0.3">
      <c r="B21" s="30"/>
      <c r="C21" s="31"/>
    </row>
    <row r="22" spans="1:12" ht="24" customHeight="1" x14ac:dyDescent="0.3">
      <c r="A22" s="49" t="s">
        <v>310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4.25" customHeight="1" x14ac:dyDescent="0.3">
      <c r="A23" s="10"/>
      <c r="B23" s="43" t="s">
        <v>4</v>
      </c>
      <c r="C23" s="43"/>
      <c r="D23" s="43"/>
      <c r="E23" s="21"/>
      <c r="F23" s="43" t="s">
        <v>5</v>
      </c>
      <c r="G23" s="43"/>
      <c r="H23" s="43"/>
      <c r="J23" s="43" t="s">
        <v>6</v>
      </c>
      <c r="K23" s="43"/>
      <c r="L23" s="43"/>
    </row>
    <row r="24" spans="1:12" x14ac:dyDescent="0.3">
      <c r="A24" s="39" t="s">
        <v>27</v>
      </c>
      <c r="B24" s="38" t="s">
        <v>16</v>
      </c>
      <c r="C24" s="38" t="s">
        <v>17</v>
      </c>
      <c r="D24" s="38" t="s">
        <v>18</v>
      </c>
      <c r="E24" s="28"/>
      <c r="F24" s="34" t="s">
        <v>16</v>
      </c>
      <c r="G24" s="34" t="s">
        <v>17</v>
      </c>
      <c r="H24" s="34" t="s">
        <v>18</v>
      </c>
      <c r="J24" s="34" t="s">
        <v>16</v>
      </c>
      <c r="K24" s="34" t="s">
        <v>17</v>
      </c>
      <c r="L24" s="34" t="s">
        <v>18</v>
      </c>
    </row>
    <row r="25" spans="1:12" x14ac:dyDescent="0.3">
      <c r="A25" s="39" t="s">
        <v>29</v>
      </c>
      <c r="B25" s="40">
        <f>B14*$B$9</f>
        <v>80523061.5</v>
      </c>
      <c r="C25" s="40">
        <f>C14*$B$9</f>
        <v>84549214.575000003</v>
      </c>
      <c r="D25" s="40">
        <f>D14*$B$9</f>
        <v>88776675.303749993</v>
      </c>
      <c r="E25" s="28"/>
      <c r="F25" s="40">
        <f>F14*$C$9</f>
        <v>106417025.00000001</v>
      </c>
      <c r="G25" s="40">
        <f>G14*$C$9</f>
        <v>109609535.75000001</v>
      </c>
      <c r="H25" s="40">
        <f>H14*$C$9</f>
        <v>112897821.82250002</v>
      </c>
      <c r="J25" s="40">
        <f>J14*$D$9</f>
        <v>13497909.734400002</v>
      </c>
      <c r="K25" s="40">
        <f>K14*$D$9</f>
        <v>14037826.123776004</v>
      </c>
      <c r="L25" s="40">
        <f>L14*$D$9</f>
        <v>14599339.168727046</v>
      </c>
    </row>
    <row r="26" spans="1:12" x14ac:dyDescent="0.3">
      <c r="A26" s="39" t="s">
        <v>178</v>
      </c>
      <c r="B26" s="40">
        <f>Mondelez!O53+B18</f>
        <v>30099240.399999999</v>
      </c>
      <c r="C26" s="40">
        <f>B26+C18</f>
        <v>34517892.82</v>
      </c>
      <c r="D26" s="40">
        <f>C26+D18</f>
        <v>39157477.861000001</v>
      </c>
      <c r="E26" s="28"/>
      <c r="F26" s="40">
        <f>Pepsico!O56+F18</f>
        <v>30124532.25</v>
      </c>
      <c r="G26" s="40">
        <f>F26+G18</f>
        <v>39989390.467500001</v>
      </c>
      <c r="H26" s="40">
        <f>G26+H18</f>
        <v>50150194.431525007</v>
      </c>
      <c r="J26" s="40">
        <f>Hershey!O53+J18</f>
        <v>6460791.8560000006</v>
      </c>
      <c r="K26" s="40">
        <f>J26+K18</f>
        <v>8357795.3862400008</v>
      </c>
      <c r="L26" s="40">
        <f>K26+L18</f>
        <v>10330679.057689602</v>
      </c>
    </row>
    <row r="27" spans="1:12" x14ac:dyDescent="0.3">
      <c r="A27" s="39" t="s">
        <v>127</v>
      </c>
      <c r="B27" s="40">
        <f>B25-B26</f>
        <v>50423821.100000001</v>
      </c>
      <c r="C27" s="40">
        <f>C25-C26</f>
        <v>50031321.755000003</v>
      </c>
      <c r="D27" s="40">
        <f>D25-D26</f>
        <v>49619197.442749992</v>
      </c>
      <c r="E27" s="28"/>
      <c r="F27" s="40">
        <f>F25-F26</f>
        <v>76292492.750000015</v>
      </c>
      <c r="G27" s="40">
        <f>G25-G26</f>
        <v>69620145.282500014</v>
      </c>
      <c r="H27" s="40">
        <f>H25-H26</f>
        <v>62747627.390975013</v>
      </c>
      <c r="J27" s="40">
        <f>J25-J26</f>
        <v>7037117.8784000017</v>
      </c>
      <c r="K27" s="40">
        <f>K25-K26</f>
        <v>5680030.7375360029</v>
      </c>
      <c r="L27" s="40">
        <f>L25-L26</f>
        <v>4268660.1110374443</v>
      </c>
    </row>
    <row r="28" spans="1:12" x14ac:dyDescent="0.3">
      <c r="A28" s="10"/>
      <c r="B28" s="28"/>
      <c r="C28" s="28"/>
      <c r="D28" s="28"/>
      <c r="E28" s="28"/>
    </row>
    <row r="29" spans="1:12" x14ac:dyDescent="0.3">
      <c r="A29" s="10"/>
      <c r="B29" s="29"/>
      <c r="C29" s="29"/>
      <c r="D29" s="29"/>
      <c r="E29" s="29"/>
    </row>
    <row r="30" spans="1:12" x14ac:dyDescent="0.3">
      <c r="A30" s="10"/>
      <c r="B30" s="29"/>
      <c r="C30" s="29"/>
      <c r="D30" s="29"/>
      <c r="E30" s="29"/>
    </row>
    <row r="32" spans="1:12" x14ac:dyDescent="0.3">
      <c r="A32" s="32"/>
    </row>
    <row r="33" spans="1:5" x14ac:dyDescent="0.3">
      <c r="A33" s="33"/>
      <c r="B33" s="30"/>
      <c r="C33" s="31"/>
      <c r="D33" s="31"/>
    </row>
    <row r="34" spans="1:5" x14ac:dyDescent="0.3">
      <c r="B34" s="30"/>
      <c r="C34" s="31"/>
      <c r="D34" s="31"/>
    </row>
    <row r="35" spans="1:5" x14ac:dyDescent="0.3">
      <c r="B35" s="30"/>
      <c r="C35" s="31"/>
      <c r="D35" s="31"/>
    </row>
    <row r="36" spans="1:5" x14ac:dyDescent="0.3">
      <c r="B36" s="30"/>
      <c r="C36" s="31"/>
      <c r="D36" s="31"/>
    </row>
    <row r="38" spans="1:5" x14ac:dyDescent="0.3">
      <c r="A38" s="10"/>
      <c r="B38" s="21"/>
      <c r="C38" s="21"/>
      <c r="D38" s="21"/>
      <c r="E38" s="21"/>
    </row>
    <row r="39" spans="1:5" x14ac:dyDescent="0.3">
      <c r="A39" s="10"/>
      <c r="B39" s="28"/>
      <c r="C39" s="28"/>
      <c r="D39" s="28"/>
      <c r="E39" s="28"/>
    </row>
    <row r="40" spans="1:5" x14ac:dyDescent="0.3">
      <c r="A40" s="10"/>
      <c r="B40" s="28"/>
      <c r="C40" s="28"/>
      <c r="D40" s="28"/>
      <c r="E40" s="28"/>
    </row>
    <row r="41" spans="1:5" x14ac:dyDescent="0.3">
      <c r="A41" s="10"/>
      <c r="B41" s="29"/>
      <c r="C41" s="29"/>
      <c r="D41" s="29"/>
      <c r="E41" s="29"/>
    </row>
    <row r="42" spans="1:5" x14ac:dyDescent="0.3">
      <c r="A42" s="10"/>
      <c r="B42" s="29"/>
      <c r="C42" s="29"/>
      <c r="D42" s="29"/>
      <c r="E42" s="29"/>
    </row>
    <row r="43" spans="1:5" x14ac:dyDescent="0.3">
      <c r="A43" s="10"/>
      <c r="B43" s="28"/>
      <c r="C43" s="28"/>
      <c r="D43" s="28"/>
      <c r="E43" s="28"/>
    </row>
    <row r="44" spans="1:5" x14ac:dyDescent="0.3">
      <c r="A44" s="10"/>
      <c r="B44" s="29"/>
      <c r="C44" s="29"/>
      <c r="D44" s="29"/>
      <c r="E44" s="29"/>
    </row>
    <row r="45" spans="1:5" x14ac:dyDescent="0.3">
      <c r="A45" s="10"/>
      <c r="B45" s="29"/>
      <c r="C45" s="29"/>
      <c r="D45" s="29"/>
      <c r="E45" s="29"/>
    </row>
  </sheetData>
  <mergeCells count="10">
    <mergeCell ref="A22:L22"/>
    <mergeCell ref="B23:D23"/>
    <mergeCell ref="F23:H23"/>
    <mergeCell ref="J23:L23"/>
    <mergeCell ref="A1:L1"/>
    <mergeCell ref="A2:L2"/>
    <mergeCell ref="A11:L11"/>
    <mergeCell ref="B12:D12"/>
    <mergeCell ref="F12:H12"/>
    <mergeCell ref="J12:L1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Mondelez</vt:lpstr>
      <vt:lpstr>Pepsico</vt:lpstr>
      <vt:lpstr>Hershey</vt:lpstr>
      <vt:lpstr>Ratio Analysis</vt:lpstr>
      <vt:lpstr>Trend Analysis </vt:lpstr>
      <vt:lpstr>Financial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JATIN RAJPUT</dc:creator>
  <dc:description/>
  <cp:lastModifiedBy>Eshan Yadav</cp:lastModifiedBy>
  <cp:revision>1</cp:revision>
  <dcterms:created xsi:type="dcterms:W3CDTF">2026-04-01T17:57:26Z</dcterms:created>
  <dcterms:modified xsi:type="dcterms:W3CDTF">2026-05-03T07:41:18Z</dcterms:modified>
  <dc:language>en-US</dc:language>
</cp:coreProperties>
</file>